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packing_engine\data\"/>
    </mc:Choice>
  </mc:AlternateContent>
  <xr:revisionPtr revIDLastSave="0" documentId="13_ncr:1_{4C84975B-35D2-470D-A28A-2A9C746070B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EADME" sheetId="1" r:id="rId1"/>
    <sheet name="products_master" sheetId="2" r:id="rId2"/>
    <sheet name="packages_master" sheetId="4" r:id="rId3"/>
    <sheet name="boxes_master" sheetId="3" r:id="rId4"/>
    <sheet name="package_bom_master" sheetId="5" r:id="rId5"/>
    <sheet name="fullboxes_master" sheetId="6" r:id="rId6"/>
    <sheet name="fullbox_cartons_master" sheetId="7" r:id="rId7"/>
    <sheet name="engine_flow" sheetId="8" r:id="rId8"/>
    <sheet name="input_json_schema" sheetId="9" r:id="rId9"/>
    <sheet name="output_schema" sheetId="10" r:id="rId10"/>
    <sheet name="output_json_schema" sheetId="11" r:id="rId11"/>
    <sheet name="json_examples" sheetId="12" r:id="rId12"/>
    <sheet name="rules_master" sheetId="13" r:id="rId13"/>
    <sheet name="engine_gap_review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26" i="2" l="1"/>
  <c r="N25" i="2"/>
  <c r="M26" i="2"/>
  <c r="M25" i="2"/>
  <c r="L233" i="2"/>
  <c r="K233" i="2"/>
  <c r="J233" i="2"/>
  <c r="N233" i="2" s="1"/>
  <c r="L140" i="2"/>
  <c r="K140" i="2"/>
  <c r="J140" i="2"/>
  <c r="M140" i="2" s="1"/>
  <c r="M233" i="2" l="1"/>
  <c r="L21" i="2" l="1"/>
  <c r="K21" i="2"/>
  <c r="J21" i="2"/>
  <c r="N21" i="2" s="1"/>
  <c r="L22" i="2"/>
  <c r="K22" i="2"/>
  <c r="J22" i="2"/>
  <c r="N22" i="2" s="1"/>
  <c r="P21" i="4"/>
  <c r="L21" i="4"/>
  <c r="P20" i="4"/>
  <c r="L20" i="4"/>
  <c r="P19" i="4"/>
  <c r="L19" i="4"/>
  <c r="P18" i="4"/>
  <c r="L18" i="4"/>
  <c r="P17" i="4"/>
  <c r="L17" i="4"/>
  <c r="P16" i="4"/>
  <c r="L16" i="4"/>
  <c r="P15" i="4"/>
  <c r="L15" i="4"/>
  <c r="P14" i="4"/>
  <c r="L14" i="4"/>
  <c r="P13" i="4"/>
  <c r="L13" i="4"/>
  <c r="P12" i="4"/>
  <c r="L12" i="4"/>
  <c r="P11" i="4"/>
  <c r="L11" i="4"/>
  <c r="P10" i="4"/>
  <c r="L10" i="4"/>
  <c r="P9" i="4"/>
  <c r="L9" i="4"/>
  <c r="P8" i="4"/>
  <c r="L8" i="4"/>
  <c r="P7" i="4"/>
  <c r="L7" i="4"/>
  <c r="P6" i="4"/>
  <c r="L6" i="4"/>
  <c r="P5" i="4"/>
  <c r="L5" i="4"/>
  <c r="P4" i="4"/>
  <c r="L4" i="4"/>
  <c r="L471" i="2"/>
  <c r="K471" i="2"/>
  <c r="J471" i="2"/>
  <c r="N471" i="2" s="1"/>
  <c r="L470" i="2"/>
  <c r="K470" i="2"/>
  <c r="J470" i="2"/>
  <c r="L469" i="2"/>
  <c r="K469" i="2"/>
  <c r="J469" i="2"/>
  <c r="N469" i="2" s="1"/>
  <c r="L468" i="2"/>
  <c r="K468" i="2"/>
  <c r="J468" i="2"/>
  <c r="N468" i="2" s="1"/>
  <c r="L467" i="2"/>
  <c r="K467" i="2"/>
  <c r="J467" i="2"/>
  <c r="N467" i="2" s="1"/>
  <c r="L466" i="2"/>
  <c r="K466" i="2"/>
  <c r="J466" i="2"/>
  <c r="M466" i="2" s="1"/>
  <c r="L465" i="2"/>
  <c r="K465" i="2"/>
  <c r="J465" i="2"/>
  <c r="M465" i="2" s="1"/>
  <c r="L464" i="2"/>
  <c r="K464" i="2"/>
  <c r="J464" i="2"/>
  <c r="N464" i="2" s="1"/>
  <c r="L463" i="2"/>
  <c r="K463" i="2"/>
  <c r="J463" i="2"/>
  <c r="N463" i="2" s="1"/>
  <c r="L462" i="2"/>
  <c r="K462" i="2"/>
  <c r="J462" i="2"/>
  <c r="L461" i="2"/>
  <c r="K461" i="2"/>
  <c r="J461" i="2"/>
  <c r="N461" i="2" s="1"/>
  <c r="L460" i="2"/>
  <c r="K460" i="2"/>
  <c r="J460" i="2"/>
  <c r="N460" i="2" s="1"/>
  <c r="L459" i="2"/>
  <c r="K459" i="2"/>
  <c r="J459" i="2"/>
  <c r="N459" i="2" s="1"/>
  <c r="L458" i="2"/>
  <c r="K458" i="2"/>
  <c r="J458" i="2"/>
  <c r="M458" i="2" s="1"/>
  <c r="L457" i="2"/>
  <c r="K457" i="2"/>
  <c r="J457" i="2"/>
  <c r="N457" i="2" s="1"/>
  <c r="L456" i="2"/>
  <c r="K456" i="2"/>
  <c r="J456" i="2"/>
  <c r="N456" i="2" s="1"/>
  <c r="L455" i="2"/>
  <c r="K455" i="2"/>
  <c r="J455" i="2"/>
  <c r="N455" i="2" s="1"/>
  <c r="L454" i="2"/>
  <c r="K454" i="2"/>
  <c r="J454" i="2"/>
  <c r="L453" i="2"/>
  <c r="K453" i="2"/>
  <c r="J453" i="2"/>
  <c r="N453" i="2" s="1"/>
  <c r="L452" i="2"/>
  <c r="K452" i="2"/>
  <c r="J452" i="2"/>
  <c r="N452" i="2" s="1"/>
  <c r="L451" i="2"/>
  <c r="K451" i="2"/>
  <c r="J451" i="2"/>
  <c r="M451" i="2" s="1"/>
  <c r="L450" i="2"/>
  <c r="K450" i="2"/>
  <c r="J450" i="2"/>
  <c r="M450" i="2" s="1"/>
  <c r="L449" i="2"/>
  <c r="K449" i="2"/>
  <c r="J449" i="2"/>
  <c r="M449" i="2" s="1"/>
  <c r="L448" i="2"/>
  <c r="K448" i="2"/>
  <c r="J448" i="2"/>
  <c r="N448" i="2" s="1"/>
  <c r="L447" i="2"/>
  <c r="K447" i="2"/>
  <c r="J447" i="2"/>
  <c r="N447" i="2" s="1"/>
  <c r="L446" i="2"/>
  <c r="K446" i="2"/>
  <c r="J446" i="2"/>
  <c r="L445" i="2"/>
  <c r="K445" i="2"/>
  <c r="J445" i="2"/>
  <c r="N445" i="2" s="1"/>
  <c r="L444" i="2"/>
  <c r="K444" i="2"/>
  <c r="J444" i="2"/>
  <c r="N444" i="2" s="1"/>
  <c r="L443" i="2"/>
  <c r="K443" i="2"/>
  <c r="J443" i="2"/>
  <c r="M443" i="2" s="1"/>
  <c r="L442" i="2"/>
  <c r="K442" i="2"/>
  <c r="J442" i="2"/>
  <c r="M442" i="2" s="1"/>
  <c r="L441" i="2"/>
  <c r="K441" i="2"/>
  <c r="J441" i="2"/>
  <c r="M441" i="2" s="1"/>
  <c r="L440" i="2"/>
  <c r="K440" i="2"/>
  <c r="J440" i="2"/>
  <c r="M440" i="2" s="1"/>
  <c r="L439" i="2"/>
  <c r="K439" i="2"/>
  <c r="J439" i="2"/>
  <c r="N439" i="2" s="1"/>
  <c r="L438" i="2"/>
  <c r="K438" i="2"/>
  <c r="J438" i="2"/>
  <c r="L437" i="2"/>
  <c r="K437" i="2"/>
  <c r="J437" i="2"/>
  <c r="N437" i="2" s="1"/>
  <c r="L436" i="2"/>
  <c r="K436" i="2"/>
  <c r="J436" i="2"/>
  <c r="N436" i="2" s="1"/>
  <c r="L435" i="2"/>
  <c r="K435" i="2"/>
  <c r="J435" i="2"/>
  <c r="N435" i="2" s="1"/>
  <c r="L434" i="2"/>
  <c r="K434" i="2"/>
  <c r="J434" i="2"/>
  <c r="M434" i="2" s="1"/>
  <c r="L433" i="2"/>
  <c r="K433" i="2"/>
  <c r="J433" i="2"/>
  <c r="M433" i="2" s="1"/>
  <c r="L432" i="2"/>
  <c r="K432" i="2"/>
  <c r="J432" i="2"/>
  <c r="N432" i="2" s="1"/>
  <c r="L431" i="2"/>
  <c r="K431" i="2"/>
  <c r="J431" i="2"/>
  <c r="N431" i="2" s="1"/>
  <c r="L430" i="2"/>
  <c r="K430" i="2"/>
  <c r="J430" i="2"/>
  <c r="L429" i="2"/>
  <c r="K429" i="2"/>
  <c r="J429" i="2"/>
  <c r="N429" i="2" s="1"/>
  <c r="L428" i="2"/>
  <c r="K428" i="2"/>
  <c r="J428" i="2"/>
  <c r="N428" i="2" s="1"/>
  <c r="L427" i="2"/>
  <c r="K427" i="2"/>
  <c r="J427" i="2"/>
  <c r="M427" i="2" s="1"/>
  <c r="L426" i="2"/>
  <c r="K426" i="2"/>
  <c r="J426" i="2"/>
  <c r="M426" i="2" s="1"/>
  <c r="L425" i="2"/>
  <c r="K425" i="2"/>
  <c r="J425" i="2"/>
  <c r="M425" i="2" s="1"/>
  <c r="L424" i="2"/>
  <c r="K424" i="2"/>
  <c r="J424" i="2"/>
  <c r="N424" i="2" s="1"/>
  <c r="L423" i="2"/>
  <c r="K423" i="2"/>
  <c r="J423" i="2"/>
  <c r="N423" i="2" s="1"/>
  <c r="L422" i="2"/>
  <c r="K422" i="2"/>
  <c r="J422" i="2"/>
  <c r="L421" i="2"/>
  <c r="K421" i="2"/>
  <c r="J421" i="2"/>
  <c r="N421" i="2" s="1"/>
  <c r="L420" i="2"/>
  <c r="K420" i="2"/>
  <c r="J420" i="2"/>
  <c r="N420" i="2" s="1"/>
  <c r="L419" i="2"/>
  <c r="K419" i="2"/>
  <c r="J419" i="2"/>
  <c r="N419" i="2" s="1"/>
  <c r="L418" i="2"/>
  <c r="K418" i="2"/>
  <c r="J418" i="2"/>
  <c r="M418" i="2" s="1"/>
  <c r="L417" i="2"/>
  <c r="K417" i="2"/>
  <c r="J417" i="2"/>
  <c r="M417" i="2" s="1"/>
  <c r="L416" i="2"/>
  <c r="K416" i="2"/>
  <c r="J416" i="2"/>
  <c r="M416" i="2" s="1"/>
  <c r="L415" i="2"/>
  <c r="K415" i="2"/>
  <c r="J415" i="2"/>
  <c r="N415" i="2" s="1"/>
  <c r="L414" i="2"/>
  <c r="K414" i="2"/>
  <c r="J414" i="2"/>
  <c r="L413" i="2"/>
  <c r="K413" i="2"/>
  <c r="J413" i="2"/>
  <c r="N413" i="2" s="1"/>
  <c r="L412" i="2"/>
  <c r="K412" i="2"/>
  <c r="J412" i="2"/>
  <c r="N412" i="2" s="1"/>
  <c r="L411" i="2"/>
  <c r="K411" i="2"/>
  <c r="J411" i="2"/>
  <c r="N411" i="2" s="1"/>
  <c r="L410" i="2"/>
  <c r="K410" i="2"/>
  <c r="J410" i="2"/>
  <c r="M410" i="2" s="1"/>
  <c r="L409" i="2"/>
  <c r="K409" i="2"/>
  <c r="J409" i="2"/>
  <c r="M409" i="2" s="1"/>
  <c r="L408" i="2"/>
  <c r="K408" i="2"/>
  <c r="J408" i="2"/>
  <c r="N408" i="2" s="1"/>
  <c r="L407" i="2"/>
  <c r="K407" i="2"/>
  <c r="J407" i="2"/>
  <c r="N407" i="2" s="1"/>
  <c r="L406" i="2"/>
  <c r="K406" i="2"/>
  <c r="J406" i="2"/>
  <c r="L405" i="2"/>
  <c r="K405" i="2"/>
  <c r="J405" i="2"/>
  <c r="N405" i="2" s="1"/>
  <c r="L404" i="2"/>
  <c r="K404" i="2"/>
  <c r="J404" i="2"/>
  <c r="N404" i="2" s="1"/>
  <c r="L403" i="2"/>
  <c r="K403" i="2"/>
  <c r="J403" i="2"/>
  <c r="M403" i="2" s="1"/>
  <c r="L402" i="2"/>
  <c r="K402" i="2"/>
  <c r="J402" i="2"/>
  <c r="M402" i="2" s="1"/>
  <c r="L401" i="2"/>
  <c r="K401" i="2"/>
  <c r="J401" i="2"/>
  <c r="M401" i="2" s="1"/>
  <c r="L400" i="2"/>
  <c r="K400" i="2"/>
  <c r="J400" i="2"/>
  <c r="M400" i="2" s="1"/>
  <c r="L399" i="2"/>
  <c r="K399" i="2"/>
  <c r="J399" i="2"/>
  <c r="N399" i="2" s="1"/>
  <c r="L398" i="2"/>
  <c r="K398" i="2"/>
  <c r="J398" i="2"/>
  <c r="L397" i="2"/>
  <c r="K397" i="2"/>
  <c r="J397" i="2"/>
  <c r="N397" i="2" s="1"/>
  <c r="L396" i="2"/>
  <c r="K396" i="2"/>
  <c r="J396" i="2"/>
  <c r="N396" i="2" s="1"/>
  <c r="L395" i="2"/>
  <c r="K395" i="2"/>
  <c r="J395" i="2"/>
  <c r="M395" i="2" s="1"/>
  <c r="L394" i="2"/>
  <c r="K394" i="2"/>
  <c r="J394" i="2"/>
  <c r="M394" i="2" s="1"/>
  <c r="L393" i="2"/>
  <c r="K393" i="2"/>
  <c r="J393" i="2"/>
  <c r="M393" i="2" s="1"/>
  <c r="L392" i="2"/>
  <c r="K392" i="2"/>
  <c r="J392" i="2"/>
  <c r="N392" i="2" s="1"/>
  <c r="L391" i="2"/>
  <c r="K391" i="2"/>
  <c r="J391" i="2"/>
  <c r="N391" i="2" s="1"/>
  <c r="L390" i="2"/>
  <c r="K390" i="2"/>
  <c r="J390" i="2"/>
  <c r="L389" i="2"/>
  <c r="K389" i="2"/>
  <c r="J389" i="2"/>
  <c r="N389" i="2" s="1"/>
  <c r="L388" i="2"/>
  <c r="K388" i="2"/>
  <c r="J388" i="2"/>
  <c r="N388" i="2" s="1"/>
  <c r="L387" i="2"/>
  <c r="K387" i="2"/>
  <c r="J387" i="2"/>
  <c r="N387" i="2" s="1"/>
  <c r="L386" i="2"/>
  <c r="K386" i="2"/>
  <c r="J386" i="2"/>
  <c r="M386" i="2" s="1"/>
  <c r="L385" i="2"/>
  <c r="K385" i="2"/>
  <c r="J385" i="2"/>
  <c r="M385" i="2" s="1"/>
  <c r="L384" i="2"/>
  <c r="K384" i="2"/>
  <c r="J384" i="2"/>
  <c r="M384" i="2" s="1"/>
  <c r="L383" i="2"/>
  <c r="K383" i="2"/>
  <c r="J383" i="2"/>
  <c r="N383" i="2" s="1"/>
  <c r="L382" i="2"/>
  <c r="K382" i="2"/>
  <c r="J382" i="2"/>
  <c r="L381" i="2"/>
  <c r="K381" i="2"/>
  <c r="J381" i="2"/>
  <c r="N381" i="2" s="1"/>
  <c r="L380" i="2"/>
  <c r="K380" i="2"/>
  <c r="J380" i="2"/>
  <c r="N380" i="2" s="1"/>
  <c r="L379" i="2"/>
  <c r="K379" i="2"/>
  <c r="J379" i="2"/>
  <c r="M379" i="2" s="1"/>
  <c r="L378" i="2"/>
  <c r="K378" i="2"/>
  <c r="J378" i="2"/>
  <c r="M378" i="2" s="1"/>
  <c r="L377" i="2"/>
  <c r="K377" i="2"/>
  <c r="J377" i="2"/>
  <c r="M377" i="2" s="1"/>
  <c r="L376" i="2"/>
  <c r="K376" i="2"/>
  <c r="J376" i="2"/>
  <c r="N376" i="2" s="1"/>
  <c r="L375" i="2"/>
  <c r="K375" i="2"/>
  <c r="J375" i="2"/>
  <c r="N375" i="2" s="1"/>
  <c r="L374" i="2"/>
  <c r="K374" i="2"/>
  <c r="J374" i="2"/>
  <c r="L373" i="2"/>
  <c r="K373" i="2"/>
  <c r="J373" i="2"/>
  <c r="N373" i="2" s="1"/>
  <c r="L372" i="2"/>
  <c r="K372" i="2"/>
  <c r="J372" i="2"/>
  <c r="N372" i="2" s="1"/>
  <c r="L371" i="2"/>
  <c r="K371" i="2"/>
  <c r="J371" i="2"/>
  <c r="N371" i="2" s="1"/>
  <c r="L370" i="2"/>
  <c r="K370" i="2"/>
  <c r="J370" i="2"/>
  <c r="M370" i="2" s="1"/>
  <c r="L369" i="2"/>
  <c r="K369" i="2"/>
  <c r="J369" i="2"/>
  <c r="M369" i="2" s="1"/>
  <c r="L368" i="2"/>
  <c r="K368" i="2"/>
  <c r="J368" i="2"/>
  <c r="N368" i="2" s="1"/>
  <c r="L367" i="2"/>
  <c r="K367" i="2"/>
  <c r="J367" i="2"/>
  <c r="N367" i="2" s="1"/>
  <c r="L366" i="2"/>
  <c r="K366" i="2"/>
  <c r="J366" i="2"/>
  <c r="L365" i="2"/>
  <c r="K365" i="2"/>
  <c r="J365" i="2"/>
  <c r="N365" i="2" s="1"/>
  <c r="L364" i="2"/>
  <c r="K364" i="2"/>
  <c r="J364" i="2"/>
  <c r="N364" i="2" s="1"/>
  <c r="L363" i="2"/>
  <c r="K363" i="2"/>
  <c r="J363" i="2"/>
  <c r="M363" i="2" s="1"/>
  <c r="L362" i="2"/>
  <c r="K362" i="2"/>
  <c r="J362" i="2"/>
  <c r="M362" i="2" s="1"/>
  <c r="L361" i="2"/>
  <c r="K361" i="2"/>
  <c r="J361" i="2"/>
  <c r="M361" i="2" s="1"/>
  <c r="L360" i="2"/>
  <c r="K360" i="2"/>
  <c r="J360" i="2"/>
  <c r="N360" i="2" s="1"/>
  <c r="L359" i="2"/>
  <c r="K359" i="2"/>
  <c r="J359" i="2"/>
  <c r="N359" i="2" s="1"/>
  <c r="L358" i="2"/>
  <c r="K358" i="2"/>
  <c r="J358" i="2"/>
  <c r="L357" i="2"/>
  <c r="K357" i="2"/>
  <c r="J357" i="2"/>
  <c r="N357" i="2" s="1"/>
  <c r="L356" i="2"/>
  <c r="K356" i="2"/>
  <c r="J356" i="2"/>
  <c r="N356" i="2" s="1"/>
  <c r="L355" i="2"/>
  <c r="K355" i="2"/>
  <c r="J355" i="2"/>
  <c r="N355" i="2" s="1"/>
  <c r="L354" i="2"/>
  <c r="K354" i="2"/>
  <c r="J354" i="2"/>
  <c r="M354" i="2" s="1"/>
  <c r="L353" i="2"/>
  <c r="K353" i="2"/>
  <c r="J353" i="2"/>
  <c r="M353" i="2" s="1"/>
  <c r="L352" i="2"/>
  <c r="K352" i="2"/>
  <c r="J352" i="2"/>
  <c r="M352" i="2" s="1"/>
  <c r="L351" i="2"/>
  <c r="K351" i="2"/>
  <c r="J351" i="2"/>
  <c r="N351" i="2" s="1"/>
  <c r="L350" i="2"/>
  <c r="K350" i="2"/>
  <c r="J350" i="2"/>
  <c r="L349" i="2"/>
  <c r="K349" i="2"/>
  <c r="J349" i="2"/>
  <c r="N349" i="2" s="1"/>
  <c r="L348" i="2"/>
  <c r="K348" i="2"/>
  <c r="J348" i="2"/>
  <c r="N348" i="2" s="1"/>
  <c r="L347" i="2"/>
  <c r="K347" i="2"/>
  <c r="J347" i="2"/>
  <c r="N347" i="2" s="1"/>
  <c r="L346" i="2"/>
  <c r="K346" i="2"/>
  <c r="J346" i="2"/>
  <c r="M346" i="2" s="1"/>
  <c r="L345" i="2"/>
  <c r="K345" i="2"/>
  <c r="J345" i="2"/>
  <c r="M345" i="2" s="1"/>
  <c r="L344" i="2"/>
  <c r="K344" i="2"/>
  <c r="J344" i="2"/>
  <c r="N344" i="2" s="1"/>
  <c r="L343" i="2"/>
  <c r="K343" i="2"/>
  <c r="J343" i="2"/>
  <c r="N343" i="2" s="1"/>
  <c r="L342" i="2"/>
  <c r="K342" i="2"/>
  <c r="J342" i="2"/>
  <c r="L341" i="2"/>
  <c r="K341" i="2"/>
  <c r="J341" i="2"/>
  <c r="N341" i="2" s="1"/>
  <c r="L340" i="2"/>
  <c r="K340" i="2"/>
  <c r="J340" i="2"/>
  <c r="N340" i="2" s="1"/>
  <c r="L339" i="2"/>
  <c r="K339" i="2"/>
  <c r="J339" i="2"/>
  <c r="N339" i="2" s="1"/>
  <c r="L338" i="2"/>
  <c r="K338" i="2"/>
  <c r="J338" i="2"/>
  <c r="M338" i="2" s="1"/>
  <c r="L337" i="2"/>
  <c r="K337" i="2"/>
  <c r="J337" i="2"/>
  <c r="M337" i="2" s="1"/>
  <c r="L336" i="2"/>
  <c r="K336" i="2"/>
  <c r="J336" i="2"/>
  <c r="M336" i="2" s="1"/>
  <c r="L335" i="2"/>
  <c r="K335" i="2"/>
  <c r="J335" i="2"/>
  <c r="N335" i="2" s="1"/>
  <c r="L334" i="2"/>
  <c r="K334" i="2"/>
  <c r="J334" i="2"/>
  <c r="L333" i="2"/>
  <c r="K333" i="2"/>
  <c r="J333" i="2"/>
  <c r="N333" i="2" s="1"/>
  <c r="L332" i="2"/>
  <c r="K332" i="2"/>
  <c r="J332" i="2"/>
  <c r="N332" i="2" s="1"/>
  <c r="L331" i="2"/>
  <c r="K331" i="2"/>
  <c r="J331" i="2"/>
  <c r="M331" i="2" s="1"/>
  <c r="L330" i="2"/>
  <c r="K330" i="2"/>
  <c r="J330" i="2"/>
  <c r="M330" i="2" s="1"/>
  <c r="L329" i="2"/>
  <c r="K329" i="2"/>
  <c r="J329" i="2"/>
  <c r="M329" i="2" s="1"/>
  <c r="L328" i="2"/>
  <c r="K328" i="2"/>
  <c r="J328" i="2"/>
  <c r="N328" i="2" s="1"/>
  <c r="L327" i="2"/>
  <c r="K327" i="2"/>
  <c r="J327" i="2"/>
  <c r="N327" i="2" s="1"/>
  <c r="L326" i="2"/>
  <c r="K326" i="2"/>
  <c r="J326" i="2"/>
  <c r="L325" i="2"/>
  <c r="K325" i="2"/>
  <c r="J325" i="2"/>
  <c r="N325" i="2" s="1"/>
  <c r="L324" i="2"/>
  <c r="K324" i="2"/>
  <c r="J324" i="2"/>
  <c r="N324" i="2" s="1"/>
  <c r="L323" i="2"/>
  <c r="K323" i="2"/>
  <c r="J323" i="2"/>
  <c r="N323" i="2" s="1"/>
  <c r="L322" i="2"/>
  <c r="K322" i="2"/>
  <c r="J322" i="2"/>
  <c r="M322" i="2" s="1"/>
  <c r="L321" i="2"/>
  <c r="K321" i="2"/>
  <c r="J321" i="2"/>
  <c r="M321" i="2" s="1"/>
  <c r="L320" i="2"/>
  <c r="K320" i="2"/>
  <c r="J320" i="2"/>
  <c r="M320" i="2" s="1"/>
  <c r="L319" i="2"/>
  <c r="K319" i="2"/>
  <c r="J319" i="2"/>
  <c r="N319" i="2" s="1"/>
  <c r="L318" i="2"/>
  <c r="K318" i="2"/>
  <c r="J318" i="2"/>
  <c r="L317" i="2"/>
  <c r="K317" i="2"/>
  <c r="J317" i="2"/>
  <c r="N317" i="2" s="1"/>
  <c r="L316" i="2"/>
  <c r="K316" i="2"/>
  <c r="J316" i="2"/>
  <c r="N316" i="2" s="1"/>
  <c r="L315" i="2"/>
  <c r="K315" i="2"/>
  <c r="J315" i="2"/>
  <c r="N315" i="2" s="1"/>
  <c r="L314" i="2"/>
  <c r="K314" i="2"/>
  <c r="J314" i="2"/>
  <c r="M314" i="2" s="1"/>
  <c r="L313" i="2"/>
  <c r="K313" i="2"/>
  <c r="J313" i="2"/>
  <c r="M313" i="2" s="1"/>
  <c r="L312" i="2"/>
  <c r="K312" i="2"/>
  <c r="J312" i="2"/>
  <c r="N312" i="2" s="1"/>
  <c r="L311" i="2"/>
  <c r="K311" i="2"/>
  <c r="J311" i="2"/>
  <c r="N311" i="2" s="1"/>
  <c r="L310" i="2"/>
  <c r="K310" i="2"/>
  <c r="J310" i="2"/>
  <c r="L309" i="2"/>
  <c r="K309" i="2"/>
  <c r="J309" i="2"/>
  <c r="N309" i="2" s="1"/>
  <c r="L308" i="2"/>
  <c r="K308" i="2"/>
  <c r="J308" i="2"/>
  <c r="N308" i="2" s="1"/>
  <c r="L307" i="2"/>
  <c r="K307" i="2"/>
  <c r="J307" i="2"/>
  <c r="N307" i="2" s="1"/>
  <c r="L306" i="2"/>
  <c r="K306" i="2"/>
  <c r="J306" i="2"/>
  <c r="M306" i="2" s="1"/>
  <c r="L305" i="2"/>
  <c r="K305" i="2"/>
  <c r="J305" i="2"/>
  <c r="M305" i="2" s="1"/>
  <c r="L304" i="2"/>
  <c r="K304" i="2"/>
  <c r="J304" i="2"/>
  <c r="N304" i="2" s="1"/>
  <c r="L303" i="2"/>
  <c r="K303" i="2"/>
  <c r="J303" i="2"/>
  <c r="N303" i="2" s="1"/>
  <c r="L302" i="2"/>
  <c r="K302" i="2"/>
  <c r="J302" i="2"/>
  <c r="L301" i="2"/>
  <c r="K301" i="2"/>
  <c r="J301" i="2"/>
  <c r="N301" i="2" s="1"/>
  <c r="L300" i="2"/>
  <c r="K300" i="2"/>
  <c r="J300" i="2"/>
  <c r="N300" i="2" s="1"/>
  <c r="L299" i="2"/>
  <c r="K299" i="2"/>
  <c r="J299" i="2"/>
  <c r="M299" i="2" s="1"/>
  <c r="L298" i="2"/>
  <c r="K298" i="2"/>
  <c r="J298" i="2"/>
  <c r="M298" i="2" s="1"/>
  <c r="L297" i="2"/>
  <c r="K297" i="2"/>
  <c r="J297" i="2"/>
  <c r="M297" i="2" s="1"/>
  <c r="L296" i="2"/>
  <c r="K296" i="2"/>
  <c r="J296" i="2"/>
  <c r="M296" i="2" s="1"/>
  <c r="L295" i="2"/>
  <c r="K295" i="2"/>
  <c r="J295" i="2"/>
  <c r="N295" i="2" s="1"/>
  <c r="L294" i="2"/>
  <c r="K294" i="2"/>
  <c r="J294" i="2"/>
  <c r="L293" i="2"/>
  <c r="K293" i="2"/>
  <c r="J293" i="2"/>
  <c r="N293" i="2" s="1"/>
  <c r="L292" i="2"/>
  <c r="K292" i="2"/>
  <c r="J292" i="2"/>
  <c r="N292" i="2" s="1"/>
  <c r="L291" i="2"/>
  <c r="K291" i="2"/>
  <c r="J291" i="2"/>
  <c r="N291" i="2" s="1"/>
  <c r="L290" i="2"/>
  <c r="K290" i="2"/>
  <c r="J290" i="2"/>
  <c r="M290" i="2" s="1"/>
  <c r="L289" i="2"/>
  <c r="K289" i="2"/>
  <c r="J289" i="2"/>
  <c r="M289" i="2" s="1"/>
  <c r="L288" i="2"/>
  <c r="K288" i="2"/>
  <c r="J288" i="2"/>
  <c r="M288" i="2" s="1"/>
  <c r="L287" i="2"/>
  <c r="K287" i="2"/>
  <c r="J287" i="2"/>
  <c r="N287" i="2" s="1"/>
  <c r="L286" i="2"/>
  <c r="K286" i="2"/>
  <c r="J286" i="2"/>
  <c r="L285" i="2"/>
  <c r="K285" i="2"/>
  <c r="J285" i="2"/>
  <c r="N285" i="2" s="1"/>
  <c r="L284" i="2"/>
  <c r="K284" i="2"/>
  <c r="J284" i="2"/>
  <c r="N284" i="2" s="1"/>
  <c r="L283" i="2"/>
  <c r="K283" i="2"/>
  <c r="J283" i="2"/>
  <c r="N283" i="2" s="1"/>
  <c r="L282" i="2"/>
  <c r="K282" i="2"/>
  <c r="J282" i="2"/>
  <c r="M282" i="2" s="1"/>
  <c r="L281" i="2"/>
  <c r="K281" i="2"/>
  <c r="J281" i="2"/>
  <c r="M281" i="2" s="1"/>
  <c r="L280" i="2"/>
  <c r="K280" i="2"/>
  <c r="J280" i="2"/>
  <c r="N280" i="2" s="1"/>
  <c r="L279" i="2"/>
  <c r="K279" i="2"/>
  <c r="J279" i="2"/>
  <c r="N279" i="2" s="1"/>
  <c r="L278" i="2"/>
  <c r="K278" i="2"/>
  <c r="J278" i="2"/>
  <c r="L277" i="2"/>
  <c r="K277" i="2"/>
  <c r="J277" i="2"/>
  <c r="N277" i="2" s="1"/>
  <c r="L276" i="2"/>
  <c r="K276" i="2"/>
  <c r="J276" i="2"/>
  <c r="N276" i="2" s="1"/>
  <c r="N275" i="2"/>
  <c r="L275" i="2"/>
  <c r="K275" i="2"/>
  <c r="J275" i="2"/>
  <c r="M275" i="2" s="1"/>
  <c r="L274" i="2"/>
  <c r="K274" i="2"/>
  <c r="J274" i="2"/>
  <c r="M274" i="2" s="1"/>
  <c r="L273" i="2"/>
  <c r="K273" i="2"/>
  <c r="J273" i="2"/>
  <c r="M273" i="2" s="1"/>
  <c r="L272" i="2"/>
  <c r="K272" i="2"/>
  <c r="J272" i="2"/>
  <c r="N272" i="2" s="1"/>
  <c r="L271" i="2"/>
  <c r="K271" i="2"/>
  <c r="J271" i="2"/>
  <c r="N271" i="2" s="1"/>
  <c r="L270" i="2"/>
  <c r="K270" i="2"/>
  <c r="J270" i="2"/>
  <c r="L269" i="2"/>
  <c r="K269" i="2"/>
  <c r="J269" i="2"/>
  <c r="N269" i="2" s="1"/>
  <c r="L268" i="2"/>
  <c r="K268" i="2"/>
  <c r="J268" i="2"/>
  <c r="N268" i="2" s="1"/>
  <c r="L267" i="2"/>
  <c r="K267" i="2"/>
  <c r="J267" i="2"/>
  <c r="M267" i="2" s="1"/>
  <c r="L266" i="2"/>
  <c r="K266" i="2"/>
  <c r="J266" i="2"/>
  <c r="M266" i="2" s="1"/>
  <c r="L265" i="2"/>
  <c r="K265" i="2"/>
  <c r="J265" i="2"/>
  <c r="M265" i="2" s="1"/>
  <c r="L264" i="2"/>
  <c r="K264" i="2"/>
  <c r="J264" i="2"/>
  <c r="N264" i="2" s="1"/>
  <c r="L263" i="2"/>
  <c r="K263" i="2"/>
  <c r="J263" i="2"/>
  <c r="N263" i="2" s="1"/>
  <c r="L262" i="2"/>
  <c r="K262" i="2"/>
  <c r="J262" i="2"/>
  <c r="L261" i="2"/>
  <c r="K261" i="2"/>
  <c r="J261" i="2"/>
  <c r="N261" i="2" s="1"/>
  <c r="L260" i="2"/>
  <c r="K260" i="2"/>
  <c r="J260" i="2"/>
  <c r="N260" i="2" s="1"/>
  <c r="L259" i="2"/>
  <c r="K259" i="2"/>
  <c r="J259" i="2"/>
  <c r="N259" i="2" s="1"/>
  <c r="L258" i="2"/>
  <c r="K258" i="2"/>
  <c r="J258" i="2"/>
  <c r="M258" i="2" s="1"/>
  <c r="L257" i="2"/>
  <c r="K257" i="2"/>
  <c r="J257" i="2"/>
  <c r="M257" i="2" s="1"/>
  <c r="L256" i="2"/>
  <c r="K256" i="2"/>
  <c r="J256" i="2"/>
  <c r="M256" i="2" s="1"/>
  <c r="L255" i="2"/>
  <c r="K255" i="2"/>
  <c r="J255" i="2"/>
  <c r="N255" i="2" s="1"/>
  <c r="L254" i="2"/>
  <c r="K254" i="2"/>
  <c r="J254" i="2"/>
  <c r="L253" i="2"/>
  <c r="K253" i="2"/>
  <c r="J253" i="2"/>
  <c r="N253" i="2" s="1"/>
  <c r="L252" i="2"/>
  <c r="K252" i="2"/>
  <c r="J252" i="2"/>
  <c r="N252" i="2" s="1"/>
  <c r="L251" i="2"/>
  <c r="K251" i="2"/>
  <c r="J251" i="2"/>
  <c r="N251" i="2" s="1"/>
  <c r="L250" i="2"/>
  <c r="K250" i="2"/>
  <c r="J250" i="2"/>
  <c r="M250" i="2" s="1"/>
  <c r="L249" i="2"/>
  <c r="K249" i="2"/>
  <c r="J249" i="2"/>
  <c r="M249" i="2" s="1"/>
  <c r="L248" i="2"/>
  <c r="K248" i="2"/>
  <c r="J248" i="2"/>
  <c r="M248" i="2" s="1"/>
  <c r="L247" i="2"/>
  <c r="K247" i="2"/>
  <c r="J247" i="2"/>
  <c r="N247" i="2" s="1"/>
  <c r="L246" i="2"/>
  <c r="K246" i="2"/>
  <c r="J246" i="2"/>
  <c r="L245" i="2"/>
  <c r="K245" i="2"/>
  <c r="J245" i="2"/>
  <c r="N245" i="2" s="1"/>
  <c r="L244" i="2"/>
  <c r="K244" i="2"/>
  <c r="J244" i="2"/>
  <c r="N244" i="2" s="1"/>
  <c r="L243" i="2"/>
  <c r="K243" i="2"/>
  <c r="J243" i="2"/>
  <c r="M243" i="2" s="1"/>
  <c r="L242" i="2"/>
  <c r="K242" i="2"/>
  <c r="J242" i="2"/>
  <c r="M242" i="2" s="1"/>
  <c r="L241" i="2"/>
  <c r="K241" i="2"/>
  <c r="J241" i="2"/>
  <c r="M241" i="2" s="1"/>
  <c r="L240" i="2"/>
  <c r="K240" i="2"/>
  <c r="J240" i="2"/>
  <c r="N240" i="2" s="1"/>
  <c r="L239" i="2"/>
  <c r="K239" i="2"/>
  <c r="J239" i="2"/>
  <c r="N239" i="2" s="1"/>
  <c r="L238" i="2"/>
  <c r="K238" i="2"/>
  <c r="J238" i="2"/>
  <c r="L237" i="2"/>
  <c r="K237" i="2"/>
  <c r="J237" i="2"/>
  <c r="N237" i="2" s="1"/>
  <c r="L236" i="2"/>
  <c r="K236" i="2"/>
  <c r="J236" i="2"/>
  <c r="N236" i="2" s="1"/>
  <c r="L235" i="2"/>
  <c r="K235" i="2"/>
  <c r="J235" i="2"/>
  <c r="N235" i="2" s="1"/>
  <c r="L234" i="2"/>
  <c r="K234" i="2"/>
  <c r="J234" i="2"/>
  <c r="M234" i="2" s="1"/>
  <c r="L232" i="2"/>
  <c r="K232" i="2"/>
  <c r="J232" i="2"/>
  <c r="M232" i="2" s="1"/>
  <c r="L231" i="2"/>
  <c r="K231" i="2"/>
  <c r="J231" i="2"/>
  <c r="M231" i="2" s="1"/>
  <c r="L230" i="2"/>
  <c r="K230" i="2"/>
  <c r="J230" i="2"/>
  <c r="N230" i="2" s="1"/>
  <c r="L229" i="2"/>
  <c r="K229" i="2"/>
  <c r="J229" i="2"/>
  <c r="N229" i="2" s="1"/>
  <c r="L228" i="2"/>
  <c r="K228" i="2"/>
  <c r="J228" i="2"/>
  <c r="L227" i="2"/>
  <c r="K227" i="2"/>
  <c r="J227" i="2"/>
  <c r="N227" i="2" s="1"/>
  <c r="L226" i="2"/>
  <c r="K226" i="2"/>
  <c r="J226" i="2"/>
  <c r="M226" i="2" s="1"/>
  <c r="L225" i="2"/>
  <c r="K225" i="2"/>
  <c r="J225" i="2"/>
  <c r="M225" i="2" s="1"/>
  <c r="N224" i="2"/>
  <c r="L224" i="2"/>
  <c r="K224" i="2"/>
  <c r="J224" i="2"/>
  <c r="M224" i="2" s="1"/>
  <c r="L223" i="2"/>
  <c r="K223" i="2"/>
  <c r="J223" i="2"/>
  <c r="M223" i="2" s="1"/>
  <c r="L222" i="2"/>
  <c r="K222" i="2"/>
  <c r="J222" i="2"/>
  <c r="N222" i="2" s="1"/>
  <c r="L221" i="2"/>
  <c r="K221" i="2"/>
  <c r="J221" i="2"/>
  <c r="N221" i="2" s="1"/>
  <c r="L220" i="2"/>
  <c r="K220" i="2"/>
  <c r="J220" i="2"/>
  <c r="L219" i="2"/>
  <c r="K219" i="2"/>
  <c r="J219" i="2"/>
  <c r="N219" i="2" s="1"/>
  <c r="L218" i="2"/>
  <c r="K218" i="2"/>
  <c r="J218" i="2"/>
  <c r="N218" i="2" s="1"/>
  <c r="L217" i="2"/>
  <c r="K217" i="2"/>
  <c r="J217" i="2"/>
  <c r="M217" i="2" s="1"/>
  <c r="L216" i="2"/>
  <c r="K216" i="2"/>
  <c r="J216" i="2"/>
  <c r="M216" i="2" s="1"/>
  <c r="L215" i="2"/>
  <c r="K215" i="2"/>
  <c r="J215" i="2"/>
  <c r="N215" i="2" s="1"/>
  <c r="L214" i="2"/>
  <c r="K214" i="2"/>
  <c r="J214" i="2"/>
  <c r="N214" i="2" s="1"/>
  <c r="L213" i="2"/>
  <c r="K213" i="2"/>
  <c r="J213" i="2"/>
  <c r="N213" i="2" s="1"/>
  <c r="L212" i="2"/>
  <c r="K212" i="2"/>
  <c r="J212" i="2"/>
  <c r="L211" i="2"/>
  <c r="K211" i="2"/>
  <c r="J211" i="2"/>
  <c r="N211" i="2" s="1"/>
  <c r="L210" i="2"/>
  <c r="K210" i="2"/>
  <c r="J210" i="2"/>
  <c r="N210" i="2" s="1"/>
  <c r="L209" i="2"/>
  <c r="K209" i="2"/>
  <c r="J209" i="2"/>
  <c r="M209" i="2" s="1"/>
  <c r="L208" i="2"/>
  <c r="K208" i="2"/>
  <c r="J208" i="2"/>
  <c r="M208" i="2" s="1"/>
  <c r="L207" i="2"/>
  <c r="K207" i="2"/>
  <c r="J207" i="2"/>
  <c r="M207" i="2" s="1"/>
  <c r="L206" i="2"/>
  <c r="K206" i="2"/>
  <c r="J206" i="2"/>
  <c r="N206" i="2" s="1"/>
  <c r="L205" i="2"/>
  <c r="K205" i="2"/>
  <c r="J205" i="2"/>
  <c r="N205" i="2" s="1"/>
  <c r="L204" i="2"/>
  <c r="K204" i="2"/>
  <c r="J204" i="2"/>
  <c r="L203" i="2"/>
  <c r="K203" i="2"/>
  <c r="J203" i="2"/>
  <c r="N203" i="2" s="1"/>
  <c r="L202" i="2"/>
  <c r="K202" i="2"/>
  <c r="J202" i="2"/>
  <c r="N202" i="2" s="1"/>
  <c r="L201" i="2"/>
  <c r="K201" i="2"/>
  <c r="J201" i="2"/>
  <c r="M201" i="2" s="1"/>
  <c r="L200" i="2"/>
  <c r="K200" i="2"/>
  <c r="J200" i="2"/>
  <c r="M200" i="2" s="1"/>
  <c r="L199" i="2"/>
  <c r="K199" i="2"/>
  <c r="J199" i="2"/>
  <c r="M199" i="2" s="1"/>
  <c r="L198" i="2"/>
  <c r="K198" i="2"/>
  <c r="J198" i="2"/>
  <c r="N198" i="2" s="1"/>
  <c r="L197" i="2"/>
  <c r="K197" i="2"/>
  <c r="J197" i="2"/>
  <c r="N197" i="2" s="1"/>
  <c r="L196" i="2"/>
  <c r="K196" i="2"/>
  <c r="J196" i="2"/>
  <c r="L195" i="2"/>
  <c r="K195" i="2"/>
  <c r="J195" i="2"/>
  <c r="N195" i="2" s="1"/>
  <c r="L194" i="2"/>
  <c r="K194" i="2"/>
  <c r="J194" i="2"/>
  <c r="M194" i="2" s="1"/>
  <c r="L193" i="2"/>
  <c r="K193" i="2"/>
  <c r="J193" i="2"/>
  <c r="M193" i="2" s="1"/>
  <c r="L192" i="2"/>
  <c r="K192" i="2"/>
  <c r="J192" i="2"/>
  <c r="M192" i="2" s="1"/>
  <c r="L191" i="2"/>
  <c r="K191" i="2"/>
  <c r="J191" i="2"/>
  <c r="M191" i="2" s="1"/>
  <c r="L190" i="2"/>
  <c r="K190" i="2"/>
  <c r="J190" i="2"/>
  <c r="N190" i="2" s="1"/>
  <c r="L189" i="2"/>
  <c r="K189" i="2"/>
  <c r="J189" i="2"/>
  <c r="M189" i="2" s="1"/>
  <c r="L188" i="2"/>
  <c r="K188" i="2"/>
  <c r="J188" i="2"/>
  <c r="L187" i="2"/>
  <c r="K187" i="2"/>
  <c r="J187" i="2"/>
  <c r="N187" i="2" s="1"/>
  <c r="L186" i="2"/>
  <c r="K186" i="2"/>
  <c r="J186" i="2"/>
  <c r="N186" i="2" s="1"/>
  <c r="L185" i="2"/>
  <c r="K185" i="2"/>
  <c r="J185" i="2"/>
  <c r="M185" i="2" s="1"/>
  <c r="L184" i="2"/>
  <c r="K184" i="2"/>
  <c r="J184" i="2"/>
  <c r="M184" i="2" s="1"/>
  <c r="L183" i="2"/>
  <c r="K183" i="2"/>
  <c r="J183" i="2"/>
  <c r="M183" i="2" s="1"/>
  <c r="L182" i="2"/>
  <c r="K182" i="2"/>
  <c r="J182" i="2"/>
  <c r="N182" i="2" s="1"/>
  <c r="L181" i="2"/>
  <c r="K181" i="2"/>
  <c r="J181" i="2"/>
  <c r="N181" i="2" s="1"/>
  <c r="L180" i="2"/>
  <c r="K180" i="2"/>
  <c r="J180" i="2"/>
  <c r="L179" i="2"/>
  <c r="K179" i="2"/>
  <c r="J179" i="2"/>
  <c r="N179" i="2" s="1"/>
  <c r="L178" i="2"/>
  <c r="K178" i="2"/>
  <c r="J178" i="2"/>
  <c r="N178" i="2" s="1"/>
  <c r="L177" i="2"/>
  <c r="K177" i="2"/>
  <c r="J177" i="2"/>
  <c r="M177" i="2" s="1"/>
  <c r="L176" i="2"/>
  <c r="K176" i="2"/>
  <c r="J176" i="2"/>
  <c r="M176" i="2" s="1"/>
  <c r="L175" i="2"/>
  <c r="K175" i="2"/>
  <c r="J175" i="2"/>
  <c r="N175" i="2" s="1"/>
  <c r="L174" i="2"/>
  <c r="K174" i="2"/>
  <c r="J174" i="2"/>
  <c r="N174" i="2" s="1"/>
  <c r="L173" i="2"/>
  <c r="K173" i="2"/>
  <c r="J173" i="2"/>
  <c r="M173" i="2" s="1"/>
  <c r="L172" i="2"/>
  <c r="K172" i="2"/>
  <c r="J172" i="2"/>
  <c r="N172" i="2" s="1"/>
  <c r="L171" i="2"/>
  <c r="K171" i="2"/>
  <c r="J171" i="2"/>
  <c r="M171" i="2" s="1"/>
  <c r="L170" i="2"/>
  <c r="K170" i="2"/>
  <c r="J170" i="2"/>
  <c r="M170" i="2" s="1"/>
  <c r="L169" i="2"/>
  <c r="K169" i="2"/>
  <c r="J169" i="2"/>
  <c r="N169" i="2" s="1"/>
  <c r="L168" i="2"/>
  <c r="K168" i="2"/>
  <c r="J168" i="2"/>
  <c r="N168" i="2" s="1"/>
  <c r="L167" i="2"/>
  <c r="K167" i="2"/>
  <c r="J167" i="2"/>
  <c r="N167" i="2" s="1"/>
  <c r="L166" i="2"/>
  <c r="K166" i="2"/>
  <c r="J166" i="2"/>
  <c r="N166" i="2" s="1"/>
  <c r="L165" i="2"/>
  <c r="K165" i="2"/>
  <c r="J165" i="2"/>
  <c r="N165" i="2" s="1"/>
  <c r="L164" i="2"/>
  <c r="K164" i="2"/>
  <c r="J164" i="2"/>
  <c r="N164" i="2" s="1"/>
  <c r="L163" i="2"/>
  <c r="K163" i="2"/>
  <c r="J163" i="2"/>
  <c r="M163" i="2" s="1"/>
  <c r="L162" i="2"/>
  <c r="K162" i="2"/>
  <c r="J162" i="2"/>
  <c r="M162" i="2" s="1"/>
  <c r="L161" i="2"/>
  <c r="K161" i="2"/>
  <c r="J161" i="2"/>
  <c r="M161" i="2" s="1"/>
  <c r="L160" i="2"/>
  <c r="K160" i="2"/>
  <c r="J160" i="2"/>
  <c r="N160" i="2" s="1"/>
  <c r="L159" i="2"/>
  <c r="K159" i="2"/>
  <c r="J159" i="2"/>
  <c r="N159" i="2" s="1"/>
  <c r="L158" i="2"/>
  <c r="K158" i="2"/>
  <c r="J158" i="2"/>
  <c r="N158" i="2" s="1"/>
  <c r="L157" i="2"/>
  <c r="K157" i="2"/>
  <c r="J157" i="2"/>
  <c r="N157" i="2" s="1"/>
  <c r="L156" i="2"/>
  <c r="K156" i="2"/>
  <c r="J156" i="2"/>
  <c r="M156" i="2" s="1"/>
  <c r="L155" i="2"/>
  <c r="K155" i="2"/>
  <c r="J155" i="2"/>
  <c r="M155" i="2" s="1"/>
  <c r="L154" i="2"/>
  <c r="K154" i="2"/>
  <c r="J154" i="2"/>
  <c r="M154" i="2" s="1"/>
  <c r="L153" i="2"/>
  <c r="K153" i="2"/>
  <c r="J153" i="2"/>
  <c r="M153" i="2" s="1"/>
  <c r="L152" i="2"/>
  <c r="K152" i="2"/>
  <c r="J152" i="2"/>
  <c r="N152" i="2" s="1"/>
  <c r="L151" i="2"/>
  <c r="K151" i="2"/>
  <c r="J151" i="2"/>
  <c r="M151" i="2" s="1"/>
  <c r="L150" i="2"/>
  <c r="K150" i="2"/>
  <c r="J150" i="2"/>
  <c r="N150" i="2" s="1"/>
  <c r="L149" i="2"/>
  <c r="K149" i="2"/>
  <c r="J149" i="2"/>
  <c r="N149" i="2" s="1"/>
  <c r="L148" i="2"/>
  <c r="K148" i="2"/>
  <c r="J148" i="2"/>
  <c r="M148" i="2" s="1"/>
  <c r="L147" i="2"/>
  <c r="K147" i="2"/>
  <c r="J147" i="2"/>
  <c r="M147" i="2" s="1"/>
  <c r="L146" i="2"/>
  <c r="K146" i="2"/>
  <c r="J146" i="2"/>
  <c r="N146" i="2" s="1"/>
  <c r="L145" i="2"/>
  <c r="K145" i="2"/>
  <c r="J145" i="2"/>
  <c r="N145" i="2" s="1"/>
  <c r="L144" i="2"/>
  <c r="K144" i="2"/>
  <c r="J144" i="2"/>
  <c r="N144" i="2" s="1"/>
  <c r="L143" i="2"/>
  <c r="K143" i="2"/>
  <c r="J143" i="2"/>
  <c r="M143" i="2" s="1"/>
  <c r="L142" i="2"/>
  <c r="K142" i="2"/>
  <c r="J142" i="2"/>
  <c r="N142" i="2" s="1"/>
  <c r="L141" i="2"/>
  <c r="K141" i="2"/>
  <c r="J141" i="2"/>
  <c r="N141" i="2" s="1"/>
  <c r="L139" i="2"/>
  <c r="K139" i="2"/>
  <c r="J139" i="2"/>
  <c r="N139" i="2" s="1"/>
  <c r="L138" i="2"/>
  <c r="K138" i="2"/>
  <c r="J138" i="2"/>
  <c r="M138" i="2" s="1"/>
  <c r="L137" i="2"/>
  <c r="K137" i="2"/>
  <c r="J137" i="2"/>
  <c r="N137" i="2" s="1"/>
  <c r="L136" i="2"/>
  <c r="K136" i="2"/>
  <c r="J136" i="2"/>
  <c r="N136" i="2" s="1"/>
  <c r="L135" i="2"/>
  <c r="K135" i="2"/>
  <c r="J135" i="2"/>
  <c r="M135" i="2" s="1"/>
  <c r="L134" i="2"/>
  <c r="K134" i="2"/>
  <c r="J134" i="2"/>
  <c r="N134" i="2" s="1"/>
  <c r="L133" i="2"/>
  <c r="K133" i="2"/>
  <c r="J133" i="2"/>
  <c r="N133" i="2" s="1"/>
  <c r="L132" i="2"/>
  <c r="K132" i="2"/>
  <c r="J132" i="2"/>
  <c r="N132" i="2" s="1"/>
  <c r="L131" i="2"/>
  <c r="K131" i="2"/>
  <c r="J131" i="2"/>
  <c r="N131" i="2" s="1"/>
  <c r="L130" i="2"/>
  <c r="K130" i="2"/>
  <c r="J130" i="2"/>
  <c r="N130" i="2" s="1"/>
  <c r="L129" i="2"/>
  <c r="K129" i="2"/>
  <c r="J129" i="2"/>
  <c r="N129" i="2" s="1"/>
  <c r="L128" i="2"/>
  <c r="K128" i="2"/>
  <c r="J128" i="2"/>
  <c r="N128" i="2" s="1"/>
  <c r="L127" i="2"/>
  <c r="K127" i="2"/>
  <c r="J127" i="2"/>
  <c r="M127" i="2" s="1"/>
  <c r="L126" i="2"/>
  <c r="K126" i="2"/>
  <c r="J126" i="2"/>
  <c r="N126" i="2" s="1"/>
  <c r="L125" i="2"/>
  <c r="K125" i="2"/>
  <c r="J125" i="2"/>
  <c r="M125" i="2" s="1"/>
  <c r="L124" i="2"/>
  <c r="K124" i="2"/>
  <c r="J124" i="2"/>
  <c r="N124" i="2" s="1"/>
  <c r="L123" i="2"/>
  <c r="K123" i="2"/>
  <c r="J123" i="2"/>
  <c r="N123" i="2" s="1"/>
  <c r="L122" i="2"/>
  <c r="K122" i="2"/>
  <c r="J122" i="2"/>
  <c r="N122" i="2" s="1"/>
  <c r="L121" i="2"/>
  <c r="K121" i="2"/>
  <c r="J121" i="2"/>
  <c r="N121" i="2" s="1"/>
  <c r="L120" i="2"/>
  <c r="K120" i="2"/>
  <c r="J120" i="2"/>
  <c r="N120" i="2" s="1"/>
  <c r="L119" i="2"/>
  <c r="K119" i="2"/>
  <c r="J119" i="2"/>
  <c r="M119" i="2" s="1"/>
  <c r="L118" i="2"/>
  <c r="K118" i="2"/>
  <c r="J118" i="2"/>
  <c r="N118" i="2" s="1"/>
  <c r="L117" i="2"/>
  <c r="K117" i="2"/>
  <c r="J117" i="2"/>
  <c r="M117" i="2" s="1"/>
  <c r="L116" i="2"/>
  <c r="K116" i="2"/>
  <c r="J116" i="2"/>
  <c r="N116" i="2" s="1"/>
  <c r="L115" i="2"/>
  <c r="K115" i="2"/>
  <c r="J115" i="2"/>
  <c r="N115" i="2" s="1"/>
  <c r="L114" i="2"/>
  <c r="K114" i="2"/>
  <c r="J114" i="2"/>
  <c r="N114" i="2" s="1"/>
  <c r="L113" i="2"/>
  <c r="K113" i="2"/>
  <c r="J113" i="2"/>
  <c r="N113" i="2" s="1"/>
  <c r="L112" i="2"/>
  <c r="K112" i="2"/>
  <c r="J112" i="2"/>
  <c r="M112" i="2" s="1"/>
  <c r="L111" i="2"/>
  <c r="K111" i="2"/>
  <c r="J111" i="2"/>
  <c r="M111" i="2" s="1"/>
  <c r="L110" i="2"/>
  <c r="K110" i="2"/>
  <c r="J110" i="2"/>
  <c r="N110" i="2" s="1"/>
  <c r="L109" i="2"/>
  <c r="K109" i="2"/>
  <c r="J109" i="2"/>
  <c r="M109" i="2" s="1"/>
  <c r="L108" i="2"/>
  <c r="K108" i="2"/>
  <c r="J108" i="2"/>
  <c r="N108" i="2" s="1"/>
  <c r="L107" i="2"/>
  <c r="K107" i="2"/>
  <c r="J107" i="2"/>
  <c r="N107" i="2" s="1"/>
  <c r="L106" i="2"/>
  <c r="K106" i="2"/>
  <c r="J106" i="2"/>
  <c r="N106" i="2" s="1"/>
  <c r="L105" i="2"/>
  <c r="K105" i="2"/>
  <c r="J105" i="2"/>
  <c r="N105" i="2" s="1"/>
  <c r="L104" i="2"/>
  <c r="K104" i="2"/>
  <c r="J104" i="2"/>
  <c r="N104" i="2" s="1"/>
  <c r="L103" i="2"/>
  <c r="K103" i="2"/>
  <c r="J103" i="2"/>
  <c r="M103" i="2" s="1"/>
  <c r="L102" i="2"/>
  <c r="K102" i="2"/>
  <c r="J102" i="2"/>
  <c r="N102" i="2" s="1"/>
  <c r="L101" i="2"/>
  <c r="K101" i="2"/>
  <c r="J101" i="2"/>
  <c r="M101" i="2" s="1"/>
  <c r="L100" i="2"/>
  <c r="K100" i="2"/>
  <c r="J100" i="2"/>
  <c r="N100" i="2" s="1"/>
  <c r="L99" i="2"/>
  <c r="K99" i="2"/>
  <c r="J99" i="2"/>
  <c r="N99" i="2" s="1"/>
  <c r="L98" i="2"/>
  <c r="K98" i="2"/>
  <c r="J98" i="2"/>
  <c r="N98" i="2" s="1"/>
  <c r="L97" i="2"/>
  <c r="K97" i="2"/>
  <c r="J97" i="2"/>
  <c r="N97" i="2" s="1"/>
  <c r="L96" i="2"/>
  <c r="K96" i="2"/>
  <c r="J96" i="2"/>
  <c r="N96" i="2" s="1"/>
  <c r="L95" i="2"/>
  <c r="K95" i="2"/>
  <c r="J95" i="2"/>
  <c r="M95" i="2" s="1"/>
  <c r="L94" i="2"/>
  <c r="K94" i="2"/>
  <c r="J94" i="2"/>
  <c r="N94" i="2" s="1"/>
  <c r="L93" i="2"/>
  <c r="K93" i="2"/>
  <c r="J93" i="2"/>
  <c r="M93" i="2" s="1"/>
  <c r="L92" i="2"/>
  <c r="K92" i="2"/>
  <c r="J92" i="2"/>
  <c r="N92" i="2" s="1"/>
  <c r="L91" i="2"/>
  <c r="K91" i="2"/>
  <c r="J91" i="2"/>
  <c r="N91" i="2" s="1"/>
  <c r="L90" i="2"/>
  <c r="K90" i="2"/>
  <c r="J90" i="2"/>
  <c r="N90" i="2" s="1"/>
  <c r="L89" i="2"/>
  <c r="K89" i="2"/>
  <c r="J89" i="2"/>
  <c r="N89" i="2" s="1"/>
  <c r="L88" i="2"/>
  <c r="K88" i="2"/>
  <c r="J88" i="2"/>
  <c r="N88" i="2" s="1"/>
  <c r="L87" i="2"/>
  <c r="K87" i="2"/>
  <c r="J87" i="2"/>
  <c r="M87" i="2" s="1"/>
  <c r="L86" i="2"/>
  <c r="K86" i="2"/>
  <c r="J86" i="2"/>
  <c r="N86" i="2" s="1"/>
  <c r="L85" i="2"/>
  <c r="K85" i="2"/>
  <c r="J85" i="2"/>
  <c r="M85" i="2" s="1"/>
  <c r="L84" i="2"/>
  <c r="K84" i="2"/>
  <c r="J84" i="2"/>
  <c r="N84" i="2" s="1"/>
  <c r="L83" i="2"/>
  <c r="K83" i="2"/>
  <c r="J83" i="2"/>
  <c r="N83" i="2" s="1"/>
  <c r="L82" i="2"/>
  <c r="K82" i="2"/>
  <c r="J82" i="2"/>
  <c r="N82" i="2" s="1"/>
  <c r="L81" i="2"/>
  <c r="K81" i="2"/>
  <c r="J81" i="2"/>
  <c r="N81" i="2" s="1"/>
  <c r="L80" i="2"/>
  <c r="K80" i="2"/>
  <c r="J80" i="2"/>
  <c r="M80" i="2" s="1"/>
  <c r="L79" i="2"/>
  <c r="K79" i="2"/>
  <c r="J79" i="2"/>
  <c r="M79" i="2" s="1"/>
  <c r="L78" i="2"/>
  <c r="K78" i="2"/>
  <c r="J78" i="2"/>
  <c r="N78" i="2" s="1"/>
  <c r="L77" i="2"/>
  <c r="K77" i="2"/>
  <c r="J77" i="2"/>
  <c r="M77" i="2" s="1"/>
  <c r="L76" i="2"/>
  <c r="K76" i="2"/>
  <c r="J76" i="2"/>
  <c r="N76" i="2" s="1"/>
  <c r="L75" i="2"/>
  <c r="K75" i="2"/>
  <c r="J75" i="2"/>
  <c r="N75" i="2" s="1"/>
  <c r="L74" i="2"/>
  <c r="K74" i="2"/>
  <c r="J74" i="2"/>
  <c r="N74" i="2" s="1"/>
  <c r="L73" i="2"/>
  <c r="K73" i="2"/>
  <c r="J73" i="2"/>
  <c r="N73" i="2" s="1"/>
  <c r="L72" i="2"/>
  <c r="K72" i="2"/>
  <c r="J72" i="2"/>
  <c r="M72" i="2" s="1"/>
  <c r="L71" i="2"/>
  <c r="K71" i="2"/>
  <c r="J71" i="2"/>
  <c r="M71" i="2" s="1"/>
  <c r="L70" i="2"/>
  <c r="K70" i="2"/>
  <c r="J70" i="2"/>
  <c r="N70" i="2" s="1"/>
  <c r="L69" i="2"/>
  <c r="K69" i="2"/>
  <c r="J69" i="2"/>
  <c r="M69" i="2" s="1"/>
  <c r="L68" i="2"/>
  <c r="K68" i="2"/>
  <c r="J68" i="2"/>
  <c r="N68" i="2" s="1"/>
  <c r="L67" i="2"/>
  <c r="K67" i="2"/>
  <c r="J67" i="2"/>
  <c r="N67" i="2" s="1"/>
  <c r="L66" i="2"/>
  <c r="K66" i="2"/>
  <c r="J66" i="2"/>
  <c r="N66" i="2" s="1"/>
  <c r="L65" i="2"/>
  <c r="K65" i="2"/>
  <c r="J65" i="2"/>
  <c r="N65" i="2" s="1"/>
  <c r="L64" i="2"/>
  <c r="K64" i="2"/>
  <c r="J64" i="2"/>
  <c r="N64" i="2" s="1"/>
  <c r="L63" i="2"/>
  <c r="K63" i="2"/>
  <c r="J63" i="2"/>
  <c r="M63" i="2" s="1"/>
  <c r="L62" i="2"/>
  <c r="K62" i="2"/>
  <c r="J62" i="2"/>
  <c r="N62" i="2" s="1"/>
  <c r="L61" i="2"/>
  <c r="K61" i="2"/>
  <c r="J61" i="2"/>
  <c r="M61" i="2" s="1"/>
  <c r="L60" i="2"/>
  <c r="K60" i="2"/>
  <c r="J60" i="2"/>
  <c r="N60" i="2" s="1"/>
  <c r="L59" i="2"/>
  <c r="K59" i="2"/>
  <c r="J59" i="2"/>
  <c r="N59" i="2" s="1"/>
  <c r="L58" i="2"/>
  <c r="K58" i="2"/>
  <c r="J58" i="2"/>
  <c r="N58" i="2" s="1"/>
  <c r="L57" i="2"/>
  <c r="K57" i="2"/>
  <c r="J57" i="2"/>
  <c r="N57" i="2" s="1"/>
  <c r="L56" i="2"/>
  <c r="K56" i="2"/>
  <c r="J56" i="2"/>
  <c r="N56" i="2" s="1"/>
  <c r="L55" i="2"/>
  <c r="K55" i="2"/>
  <c r="J55" i="2"/>
  <c r="M55" i="2" s="1"/>
  <c r="L54" i="2"/>
  <c r="K54" i="2"/>
  <c r="J54" i="2"/>
  <c r="N54" i="2" s="1"/>
  <c r="L53" i="2"/>
  <c r="K53" i="2"/>
  <c r="J53" i="2"/>
  <c r="M53" i="2" s="1"/>
  <c r="L52" i="2"/>
  <c r="K52" i="2"/>
  <c r="J52" i="2"/>
  <c r="N52" i="2" s="1"/>
  <c r="L51" i="2"/>
  <c r="K51" i="2"/>
  <c r="J51" i="2"/>
  <c r="N51" i="2" s="1"/>
  <c r="L50" i="2"/>
  <c r="K50" i="2"/>
  <c r="J50" i="2"/>
  <c r="N50" i="2" s="1"/>
  <c r="L49" i="2"/>
  <c r="K49" i="2"/>
  <c r="J49" i="2"/>
  <c r="N49" i="2" s="1"/>
  <c r="L48" i="2"/>
  <c r="K48" i="2"/>
  <c r="J48" i="2"/>
  <c r="M48" i="2" s="1"/>
  <c r="L47" i="2"/>
  <c r="K47" i="2"/>
  <c r="J47" i="2"/>
  <c r="M47" i="2" s="1"/>
  <c r="L46" i="2"/>
  <c r="K46" i="2"/>
  <c r="J46" i="2"/>
  <c r="N46" i="2" s="1"/>
  <c r="L45" i="2"/>
  <c r="K45" i="2"/>
  <c r="J45" i="2"/>
  <c r="M45" i="2" s="1"/>
  <c r="L44" i="2"/>
  <c r="K44" i="2"/>
  <c r="J44" i="2"/>
  <c r="N44" i="2" s="1"/>
  <c r="L43" i="2"/>
  <c r="K43" i="2"/>
  <c r="J43" i="2"/>
  <c r="N43" i="2" s="1"/>
  <c r="L42" i="2"/>
  <c r="K42" i="2"/>
  <c r="J42" i="2"/>
  <c r="N42" i="2" s="1"/>
  <c r="L41" i="2"/>
  <c r="K41" i="2"/>
  <c r="J41" i="2"/>
  <c r="N41" i="2" s="1"/>
  <c r="L40" i="2"/>
  <c r="K40" i="2"/>
  <c r="J40" i="2"/>
  <c r="N40" i="2" s="1"/>
  <c r="L39" i="2"/>
  <c r="K39" i="2"/>
  <c r="J39" i="2"/>
  <c r="M39" i="2" s="1"/>
  <c r="L38" i="2"/>
  <c r="K38" i="2"/>
  <c r="J38" i="2"/>
  <c r="N38" i="2" s="1"/>
  <c r="L37" i="2"/>
  <c r="K37" i="2"/>
  <c r="J37" i="2"/>
  <c r="M37" i="2" s="1"/>
  <c r="L36" i="2"/>
  <c r="K36" i="2"/>
  <c r="J36" i="2"/>
  <c r="N36" i="2" s="1"/>
  <c r="L35" i="2"/>
  <c r="K35" i="2"/>
  <c r="J35" i="2"/>
  <c r="N35" i="2" s="1"/>
  <c r="L34" i="2"/>
  <c r="K34" i="2"/>
  <c r="J34" i="2"/>
  <c r="N34" i="2" s="1"/>
  <c r="L33" i="2"/>
  <c r="K33" i="2"/>
  <c r="J33" i="2"/>
  <c r="N33" i="2" s="1"/>
  <c r="L32" i="2"/>
  <c r="K32" i="2"/>
  <c r="J32" i="2"/>
  <c r="N32" i="2" s="1"/>
  <c r="L31" i="2"/>
  <c r="K31" i="2"/>
  <c r="J31" i="2"/>
  <c r="N31" i="2" s="1"/>
  <c r="L30" i="2"/>
  <c r="K30" i="2"/>
  <c r="J30" i="2"/>
  <c r="N30" i="2" s="1"/>
  <c r="L29" i="2"/>
  <c r="K29" i="2"/>
  <c r="J29" i="2"/>
  <c r="M29" i="2" s="1"/>
  <c r="L28" i="2"/>
  <c r="K28" i="2"/>
  <c r="J28" i="2"/>
  <c r="N28" i="2" s="1"/>
  <c r="L27" i="2"/>
  <c r="K27" i="2"/>
  <c r="J27" i="2"/>
  <c r="N27" i="2" s="1"/>
  <c r="L24" i="2"/>
  <c r="K24" i="2"/>
  <c r="J24" i="2"/>
  <c r="N24" i="2" s="1"/>
  <c r="L23" i="2"/>
  <c r="K23" i="2"/>
  <c r="J23" i="2"/>
  <c r="N23" i="2" s="1"/>
  <c r="L20" i="2"/>
  <c r="K20" i="2"/>
  <c r="J20" i="2"/>
  <c r="N20" i="2" s="1"/>
  <c r="L19" i="2"/>
  <c r="K19" i="2"/>
  <c r="J19" i="2"/>
  <c r="N19" i="2" s="1"/>
  <c r="L18" i="2"/>
  <c r="K18" i="2"/>
  <c r="J18" i="2"/>
  <c r="N18" i="2" s="1"/>
  <c r="L17" i="2"/>
  <c r="K17" i="2"/>
  <c r="J17" i="2"/>
  <c r="M17" i="2" s="1"/>
  <c r="L16" i="2"/>
  <c r="K16" i="2"/>
  <c r="J16" i="2"/>
  <c r="N16" i="2" s="1"/>
  <c r="L15" i="2"/>
  <c r="K15" i="2"/>
  <c r="J15" i="2"/>
  <c r="N15" i="2" s="1"/>
  <c r="L14" i="2"/>
  <c r="K14" i="2"/>
  <c r="J14" i="2"/>
  <c r="N14" i="2" s="1"/>
  <c r="L13" i="2"/>
  <c r="K13" i="2"/>
  <c r="J13" i="2"/>
  <c r="N13" i="2" s="1"/>
  <c r="M12" i="2"/>
  <c r="L12" i="2"/>
  <c r="K12" i="2"/>
  <c r="J12" i="2"/>
  <c r="N12" i="2" s="1"/>
  <c r="L11" i="2"/>
  <c r="K11" i="2"/>
  <c r="J11" i="2"/>
  <c r="N11" i="2" s="1"/>
  <c r="L10" i="2"/>
  <c r="K10" i="2"/>
  <c r="J10" i="2"/>
  <c r="N10" i="2" s="1"/>
  <c r="L9" i="2"/>
  <c r="K9" i="2"/>
  <c r="J9" i="2"/>
  <c r="M9" i="2" s="1"/>
  <c r="L8" i="2"/>
  <c r="K8" i="2"/>
  <c r="J8" i="2"/>
  <c r="N8" i="2" s="1"/>
  <c r="L7" i="2"/>
  <c r="K7" i="2"/>
  <c r="J7" i="2"/>
  <c r="N7" i="2" s="1"/>
  <c r="L6" i="2"/>
  <c r="K6" i="2"/>
  <c r="J6" i="2"/>
  <c r="N6" i="2" s="1"/>
  <c r="L5" i="2"/>
  <c r="K5" i="2"/>
  <c r="N5" i="2"/>
  <c r="N4" i="2"/>
  <c r="M4" i="2"/>
  <c r="L4" i="2"/>
  <c r="K4" i="2"/>
  <c r="M68" i="2" l="1"/>
  <c r="M235" i="2"/>
  <c r="N248" i="2"/>
  <c r="N337" i="2"/>
  <c r="M64" i="2"/>
  <c r="N154" i="2"/>
  <c r="M152" i="2"/>
  <c r="N226" i="2"/>
  <c r="N250" i="2"/>
  <c r="N384" i="2"/>
  <c r="M126" i="2"/>
  <c r="N306" i="2"/>
  <c r="M459" i="2"/>
  <c r="M14" i="2"/>
  <c r="M66" i="2"/>
  <c r="N199" i="2"/>
  <c r="N320" i="2"/>
  <c r="N370" i="2"/>
  <c r="M178" i="2"/>
  <c r="N258" i="2"/>
  <c r="M263" i="2"/>
  <c r="N273" i="2"/>
  <c r="M291" i="2"/>
  <c r="N403" i="2"/>
  <c r="N434" i="2"/>
  <c r="N465" i="2"/>
  <c r="M128" i="2"/>
  <c r="M137" i="2"/>
  <c r="N176" i="2"/>
  <c r="N256" i="2"/>
  <c r="M271" i="2"/>
  <c r="N296" i="2"/>
  <c r="M339" i="2"/>
  <c r="N401" i="2"/>
  <c r="N427" i="2"/>
  <c r="M432" i="2"/>
  <c r="N135" i="2"/>
  <c r="M124" i="2"/>
  <c r="M197" i="2"/>
  <c r="N207" i="2"/>
  <c r="N299" i="2"/>
  <c r="M304" i="2"/>
  <c r="M335" i="2"/>
  <c r="N363" i="2"/>
  <c r="M368" i="2"/>
  <c r="N440" i="2"/>
  <c r="M130" i="2"/>
  <c r="M10" i="2"/>
  <c r="N72" i="2"/>
  <c r="N87" i="2"/>
  <c r="M8" i="2"/>
  <c r="N37" i="2"/>
  <c r="M70" i="2"/>
  <c r="N80" i="2"/>
  <c r="N85" i="2"/>
  <c r="N156" i="2"/>
  <c r="M21" i="2"/>
  <c r="M411" i="2"/>
  <c r="N442" i="2"/>
  <c r="M457" i="2"/>
  <c r="M62" i="2"/>
  <c r="N95" i="2"/>
  <c r="M120" i="2"/>
  <c r="M122" i="2"/>
  <c r="M186" i="2"/>
  <c r="N232" i="2"/>
  <c r="M240" i="2"/>
  <c r="M283" i="2"/>
  <c r="M347" i="2"/>
  <c r="M376" i="2"/>
  <c r="N378" i="2"/>
  <c r="N400" i="2"/>
  <c r="N409" i="2"/>
  <c r="M455" i="2"/>
  <c r="M60" i="2"/>
  <c r="N93" i="2"/>
  <c r="M118" i="2"/>
  <c r="N184" i="2"/>
  <c r="M218" i="2"/>
  <c r="N281" i="2"/>
  <c r="N336" i="2"/>
  <c r="N345" i="2"/>
  <c r="M407" i="2"/>
  <c r="M419" i="2"/>
  <c r="M467" i="2"/>
  <c r="M20" i="2"/>
  <c r="M24" i="2"/>
  <c r="M56" i="2"/>
  <c r="M58" i="2"/>
  <c r="N103" i="2"/>
  <c r="M116" i="2"/>
  <c r="M144" i="2"/>
  <c r="M146" i="2"/>
  <c r="N148" i="2"/>
  <c r="M157" i="2"/>
  <c r="N162" i="2"/>
  <c r="N216" i="2"/>
  <c r="M279" i="2"/>
  <c r="M312" i="2"/>
  <c r="N314" i="2"/>
  <c r="M343" i="2"/>
  <c r="M355" i="2"/>
  <c r="N417" i="2"/>
  <c r="M424" i="2"/>
  <c r="M18" i="2"/>
  <c r="M54" i="2"/>
  <c r="N101" i="2"/>
  <c r="N194" i="2"/>
  <c r="N243" i="2"/>
  <c r="N353" i="2"/>
  <c r="M360" i="2"/>
  <c r="N386" i="2"/>
  <c r="M391" i="2"/>
  <c r="N443" i="2"/>
  <c r="M16" i="2"/>
  <c r="N29" i="2"/>
  <c r="N39" i="2"/>
  <c r="M52" i="2"/>
  <c r="M74" i="2"/>
  <c r="M132" i="2"/>
  <c r="M165" i="2"/>
  <c r="N192" i="2"/>
  <c r="N289" i="2"/>
  <c r="N322" i="2"/>
  <c r="M327" i="2"/>
  <c r="N379" i="2"/>
  <c r="M399" i="2"/>
  <c r="N161" i="2"/>
  <c r="M206" i="2"/>
  <c r="M210" i="2"/>
  <c r="N48" i="2"/>
  <c r="M100" i="2"/>
  <c r="M102" i="2"/>
  <c r="M104" i="2"/>
  <c r="M106" i="2"/>
  <c r="N112" i="2"/>
  <c r="M168" i="2"/>
  <c r="N170" i="2"/>
  <c r="M181" i="2"/>
  <c r="N183" i="2"/>
  <c r="N185" i="2"/>
  <c r="N191" i="2"/>
  <c r="N208" i="2"/>
  <c r="M215" i="2"/>
  <c r="N223" i="2"/>
  <c r="N225" i="2"/>
  <c r="N231" i="2"/>
  <c r="N234" i="2"/>
  <c r="N257" i="2"/>
  <c r="M259" i="2"/>
  <c r="N267" i="2"/>
  <c r="M280" i="2"/>
  <c r="N288" i="2"/>
  <c r="N290" i="2"/>
  <c r="M311" i="2"/>
  <c r="N321" i="2"/>
  <c r="M323" i="2"/>
  <c r="N331" i="2"/>
  <c r="M344" i="2"/>
  <c r="N352" i="2"/>
  <c r="N354" i="2"/>
  <c r="M375" i="2"/>
  <c r="N385" i="2"/>
  <c r="M387" i="2"/>
  <c r="N395" i="2"/>
  <c r="M408" i="2"/>
  <c r="N416" i="2"/>
  <c r="N418" i="2"/>
  <c r="M439" i="2"/>
  <c r="N451" i="2"/>
  <c r="M464" i="2"/>
  <c r="N242" i="2"/>
  <c r="M319" i="2"/>
  <c r="M383" i="2"/>
  <c r="N17" i="2"/>
  <c r="M32" i="2"/>
  <c r="M34" i="2"/>
  <c r="M92" i="2"/>
  <c r="M94" i="2"/>
  <c r="M96" i="2"/>
  <c r="M98" i="2"/>
  <c r="N125" i="2"/>
  <c r="N127" i="2"/>
  <c r="M141" i="2"/>
  <c r="N143" i="2"/>
  <c r="M149" i="2"/>
  <c r="N151" i="2"/>
  <c r="N153" i="2"/>
  <c r="M175" i="2"/>
  <c r="M202" i="2"/>
  <c r="N217" i="2"/>
  <c r="M247" i="2"/>
  <c r="M272" i="2"/>
  <c r="N282" i="2"/>
  <c r="M303" i="2"/>
  <c r="N313" i="2"/>
  <c r="M315" i="2"/>
  <c r="N346" i="2"/>
  <c r="M367" i="2"/>
  <c r="N377" i="2"/>
  <c r="N410" i="2"/>
  <c r="M431" i="2"/>
  <c r="N441" i="2"/>
  <c r="M456" i="2"/>
  <c r="N466" i="2"/>
  <c r="N77" i="2"/>
  <c r="N79" i="2"/>
  <c r="M108" i="2"/>
  <c r="M110" i="2"/>
  <c r="M114" i="2"/>
  <c r="N189" i="2"/>
  <c r="M229" i="2"/>
  <c r="N265" i="2"/>
  <c r="N329" i="2"/>
  <c r="N362" i="2"/>
  <c r="N393" i="2"/>
  <c r="N426" i="2"/>
  <c r="M447" i="2"/>
  <c r="N449" i="2"/>
  <c r="M36" i="2"/>
  <c r="M38" i="2"/>
  <c r="M40" i="2"/>
  <c r="M42" i="2"/>
  <c r="N69" i="2"/>
  <c r="N71" i="2"/>
  <c r="N61" i="2"/>
  <c r="N63" i="2"/>
  <c r="N9" i="2"/>
  <c r="M28" i="2"/>
  <c r="M30" i="2"/>
  <c r="N53" i="2"/>
  <c r="N55" i="2"/>
  <c r="M84" i="2"/>
  <c r="M86" i="2"/>
  <c r="M88" i="2"/>
  <c r="M90" i="2"/>
  <c r="N117" i="2"/>
  <c r="N119" i="2"/>
  <c r="N173" i="2"/>
  <c r="N200" i="2"/>
  <c r="M239" i="2"/>
  <c r="N249" i="2"/>
  <c r="M251" i="2"/>
  <c r="M264" i="2"/>
  <c r="N274" i="2"/>
  <c r="M295" i="2"/>
  <c r="N305" i="2"/>
  <c r="M307" i="2"/>
  <c r="M328" i="2"/>
  <c r="N338" i="2"/>
  <c r="M359" i="2"/>
  <c r="N369" i="2"/>
  <c r="M371" i="2"/>
  <c r="M392" i="2"/>
  <c r="N402" i="2"/>
  <c r="M423" i="2"/>
  <c r="N433" i="2"/>
  <c r="M435" i="2"/>
  <c r="N458" i="2"/>
  <c r="M6" i="2"/>
  <c r="M44" i="2"/>
  <c r="M46" i="2"/>
  <c r="M50" i="2"/>
  <c r="N298" i="2"/>
  <c r="N45" i="2"/>
  <c r="N47" i="2"/>
  <c r="M76" i="2"/>
  <c r="M78" i="2"/>
  <c r="M82" i="2"/>
  <c r="N109" i="2"/>
  <c r="N111" i="2"/>
  <c r="M160" i="2"/>
  <c r="M190" i="2"/>
  <c r="M222" i="2"/>
  <c r="M230" i="2"/>
  <c r="N241" i="2"/>
  <c r="N266" i="2"/>
  <c r="M287" i="2"/>
  <c r="N297" i="2"/>
  <c r="N330" i="2"/>
  <c r="M351" i="2"/>
  <c r="N361" i="2"/>
  <c r="N394" i="2"/>
  <c r="M415" i="2"/>
  <c r="N425" i="2"/>
  <c r="M448" i="2"/>
  <c r="N450" i="2"/>
  <c r="M471" i="2"/>
  <c r="M22" i="2"/>
  <c r="M463" i="2"/>
  <c r="N390" i="2"/>
  <c r="M390" i="2"/>
  <c r="M11" i="2"/>
  <c r="M19" i="2"/>
  <c r="M31" i="2"/>
  <c r="M158" i="2"/>
  <c r="N163" i="2"/>
  <c r="N177" i="2"/>
  <c r="M214" i="2"/>
  <c r="N254" i="2"/>
  <c r="M254" i="2"/>
  <c r="N318" i="2"/>
  <c r="M318" i="2"/>
  <c r="N382" i="2"/>
  <c r="M382" i="2"/>
  <c r="N446" i="2"/>
  <c r="M446" i="2"/>
  <c r="N326" i="2"/>
  <c r="M326" i="2"/>
  <c r="N180" i="2"/>
  <c r="M180" i="2"/>
  <c r="N246" i="2"/>
  <c r="M246" i="2"/>
  <c r="N310" i="2"/>
  <c r="M310" i="2"/>
  <c r="N374" i="2"/>
  <c r="M374" i="2"/>
  <c r="N438" i="2"/>
  <c r="M438" i="2"/>
  <c r="N228" i="2"/>
  <c r="M228" i="2"/>
  <c r="M5" i="2"/>
  <c r="M13" i="2"/>
  <c r="M23" i="2"/>
  <c r="M33" i="2"/>
  <c r="M41" i="2"/>
  <c r="M49" i="2"/>
  <c r="M57" i="2"/>
  <c r="M65" i="2"/>
  <c r="M73" i="2"/>
  <c r="M81" i="2"/>
  <c r="M89" i="2"/>
  <c r="M97" i="2"/>
  <c r="M105" i="2"/>
  <c r="M113" i="2"/>
  <c r="M121" i="2"/>
  <c r="M129" i="2"/>
  <c r="M134" i="2"/>
  <c r="M139" i="2"/>
  <c r="M145" i="2"/>
  <c r="M150" i="2"/>
  <c r="N155" i="2"/>
  <c r="M167" i="2"/>
  <c r="M172" i="2"/>
  <c r="N188" i="2"/>
  <c r="M188" i="2"/>
  <c r="N193" i="2"/>
  <c r="M205" i="2"/>
  <c r="N238" i="2"/>
  <c r="M238" i="2"/>
  <c r="N302" i="2"/>
  <c r="M302" i="2"/>
  <c r="N366" i="2"/>
  <c r="M366" i="2"/>
  <c r="N430" i="2"/>
  <c r="M430" i="2"/>
  <c r="M174" i="2"/>
  <c r="N196" i="2"/>
  <c r="M196" i="2"/>
  <c r="N201" i="2"/>
  <c r="M213" i="2"/>
  <c r="N294" i="2"/>
  <c r="M294" i="2"/>
  <c r="N358" i="2"/>
  <c r="M358" i="2"/>
  <c r="N422" i="2"/>
  <c r="M422" i="2"/>
  <c r="N262" i="2"/>
  <c r="M262" i="2"/>
  <c r="M7" i="2"/>
  <c r="M15" i="2"/>
  <c r="M27" i="2"/>
  <c r="M35" i="2"/>
  <c r="M43" i="2"/>
  <c r="M51" i="2"/>
  <c r="M59" i="2"/>
  <c r="M67" i="2"/>
  <c r="M75" i="2"/>
  <c r="M83" i="2"/>
  <c r="M91" i="2"/>
  <c r="M99" i="2"/>
  <c r="M107" i="2"/>
  <c r="M115" i="2"/>
  <c r="M123" i="2"/>
  <c r="M131" i="2"/>
  <c r="M136" i="2"/>
  <c r="M142" i="2"/>
  <c r="N147" i="2"/>
  <c r="M159" i="2"/>
  <c r="M164" i="2"/>
  <c r="M169" i="2"/>
  <c r="M182" i="2"/>
  <c r="N204" i="2"/>
  <c r="M204" i="2"/>
  <c r="N209" i="2"/>
  <c r="M221" i="2"/>
  <c r="N286" i="2"/>
  <c r="M286" i="2"/>
  <c r="N350" i="2"/>
  <c r="M350" i="2"/>
  <c r="N414" i="2"/>
  <c r="M414" i="2"/>
  <c r="N470" i="2"/>
  <c r="M470" i="2"/>
  <c r="N212" i="2"/>
  <c r="M212" i="2"/>
  <c r="N278" i="2"/>
  <c r="M278" i="2"/>
  <c r="N342" i="2"/>
  <c r="M342" i="2"/>
  <c r="N406" i="2"/>
  <c r="M406" i="2"/>
  <c r="N462" i="2"/>
  <c r="M462" i="2"/>
  <c r="M133" i="2"/>
  <c r="N138" i="2"/>
  <c r="M166" i="2"/>
  <c r="N171" i="2"/>
  <c r="M198" i="2"/>
  <c r="N220" i="2"/>
  <c r="M220" i="2"/>
  <c r="M255" i="2"/>
  <c r="N270" i="2"/>
  <c r="M270" i="2"/>
  <c r="N334" i="2"/>
  <c r="M334" i="2"/>
  <c r="N398" i="2"/>
  <c r="M398" i="2"/>
  <c r="N454" i="2"/>
  <c r="M454" i="2"/>
  <c r="M237" i="2"/>
  <c r="M245" i="2"/>
  <c r="M253" i="2"/>
  <c r="M261" i="2"/>
  <c r="M269" i="2"/>
  <c r="M277" i="2"/>
  <c r="M285" i="2"/>
  <c r="M293" i="2"/>
  <c r="M301" i="2"/>
  <c r="M309" i="2"/>
  <c r="M317" i="2"/>
  <c r="M325" i="2"/>
  <c r="M333" i="2"/>
  <c r="M341" i="2"/>
  <c r="M349" i="2"/>
  <c r="M357" i="2"/>
  <c r="M365" i="2"/>
  <c r="M373" i="2"/>
  <c r="M381" i="2"/>
  <c r="M389" i="2"/>
  <c r="M397" i="2"/>
  <c r="M405" i="2"/>
  <c r="M413" i="2"/>
  <c r="M421" i="2"/>
  <c r="M429" i="2"/>
  <c r="M437" i="2"/>
  <c r="M445" i="2"/>
  <c r="M453" i="2"/>
  <c r="M461" i="2"/>
  <c r="M469" i="2"/>
  <c r="M179" i="2"/>
  <c r="M187" i="2"/>
  <c r="M195" i="2"/>
  <c r="M203" i="2"/>
  <c r="M211" i="2"/>
  <c r="M219" i="2"/>
  <c r="M227" i="2"/>
  <c r="M236" i="2"/>
  <c r="M244" i="2"/>
  <c r="M252" i="2"/>
  <c r="M260" i="2"/>
  <c r="M268" i="2"/>
  <c r="M276" i="2"/>
  <c r="M284" i="2"/>
  <c r="M292" i="2"/>
  <c r="M300" i="2"/>
  <c r="M308" i="2"/>
  <c r="M316" i="2"/>
  <c r="M324" i="2"/>
  <c r="M332" i="2"/>
  <c r="M340" i="2"/>
  <c r="M348" i="2"/>
  <c r="M356" i="2"/>
  <c r="M364" i="2"/>
  <c r="M372" i="2"/>
  <c r="M380" i="2"/>
  <c r="M388" i="2"/>
  <c r="M396" i="2"/>
  <c r="M404" i="2"/>
  <c r="M412" i="2"/>
  <c r="M420" i="2"/>
  <c r="M428" i="2"/>
  <c r="M436" i="2"/>
  <c r="M444" i="2"/>
  <c r="M452" i="2"/>
  <c r="M460" i="2"/>
  <c r="M468" i="2"/>
</calcChain>
</file>

<file path=xl/sharedStrings.xml><?xml version="1.0" encoding="utf-8"?>
<sst xmlns="http://schemas.openxmlformats.org/spreadsheetml/2006/main" count="7045" uniqueCount="2075">
  <si>
    <t>업로드한 원본 파일을 기준으로 계산 엔진용 정규화 마스터를 만든 통합 워크북입니다.</t>
  </si>
  <si>
    <t>시트 안내:</t>
  </si>
  <si>
    <t>1) products_master: 제품규격표 기준 상품 규격/중량 마스터</t>
  </si>
  <si>
    <t>2) boxes_master: 보유 박스 정보 기준 박스 마스터</t>
  </si>
  <si>
    <t>3) packages_master: 패키지 상품 정보 기준 패키지 마스터</t>
  </si>
  <si>
    <t>4) fullboxes_master: 완박스 정보 기준 완박스 마스터</t>
  </si>
  <si>
    <t>적용 규칙:</t>
  </si>
  <si>
    <t>1) 상품/패키지 규격은 mm → cm 로 변환</t>
  </si>
  <si>
    <t>2) 상품/패키지 중량은 g → kg 로 변환</t>
  </si>
  <si>
    <t>3) 박스 내경은 외경 - 1cm 로 계산</t>
  </si>
  <si>
    <t>4) 보유 박스 최대허용중량은 30kg 기준으로 표준화</t>
  </si>
  <si>
    <t>추가 시트 안내:</t>
  </si>
  <si>
    <t>4) rules_master: 현재 합의된 패킹 규칙을 키-값 형태로 정리한 시트</t>
  </si>
  <si>
    <t>5) engine_gap_review: 계산 엔진 투입 전 남아 있는 구조 갭과 권장 보완사항</t>
  </si>
  <si>
    <t>엔진 보완 메모:</t>
  </si>
  <si>
    <t>- products_master에 패키지상품여부 / 특수우선박스코드 / 특수우선입수량 / 패킹정책코드 컬럼 추가</t>
  </si>
  <si>
    <t>- boxes_master에 박스정렬우선순위 컬럼 추가(큰 박스 우선)</t>
  </si>
  <si>
    <t>- fullboxes_master는 현재 boxes_master와 직접 매핑되는 표준 박스코드가 없음</t>
  </si>
  <si>
    <t>추가 확정 사항:</t>
  </si>
  <si>
    <t>- fullboxes_master는 boxes_master와 직접 매핑하지 않고, 완박스 자체 출고 카톤(OWN_CARTON)으로 처리</t>
  </si>
  <si>
    <t>- 출고 순서는 완박스 우선 배정 후 잔량만 재포장(REMAINDER_TO_REPACK)</t>
  </si>
  <si>
    <t>- 규격/중량 누락으로 수동 검토가 필요한 완박스 행: 97</t>
  </si>
  <si>
    <t>[패키지 정책 확정]</t>
  </si>
  <si>
    <t>- 패키지 상품은 기본적으로 해체하지 않고 패키지 상태 그대로 계산</t>
  </si>
  <si>
    <t>- 패키지 SKU에 대한 재포장 계산은 packages_master의 패키지 외형/중량 기준으로 처리</t>
  </si>
  <si>
    <t>- 해체 계산은 package_bom_master에 BOM이 존재하고, packages_master의 해체정책이 허용하며, 실제 필요할 때만 가능</t>
  </si>
  <si>
    <t>- BOM이 없으면 해체 계산은 하지 않으며 패키지 상태 유지 또는 수동 검토로 분기</t>
  </si>
  <si>
    <t>[엔진 처리 흐름 확정]</t>
  </si>
  <si>
    <t>- engine_flow: 입력 -&gt; 유형판별 -&gt; 완박스 -&gt; 패키지 -&gt; 특수규칙 -&gt; 일반패킹 -&gt; 중량검증 -&gt; 공간검증 -&gt; 출력 생성 순서 확정</t>
  </si>
  <si>
    <t>- output_schema: 패킹리스트 템플릿에 필요한 최소 출력 필드와 생성 규칙 정의</t>
  </si>
  <si>
    <t>[입출력 JSON 스키마 확정]</t>
  </si>
  <si>
    <t>- input_json_schema: 계산 엔진 요청 JSON의 필수/선택 필드, 검증 규칙, 예시값 정의</t>
  </si>
  <si>
    <t>- output_json_schema: 엔진 응답 JSON의 계층 구조와 카톤/아이템/수동검토 필드 정의</t>
  </si>
  <si>
    <t>- json_examples: 요청/응답 JSON 샘플</t>
  </si>
  <si>
    <t>[완박스 잔량 혼합 정책 확정]</t>
  </si>
  <si>
    <t>- FULLBOX 포장 시 상품별 단독 완박스를 먼저 최대 배정</t>
  </si>
  <si>
    <t>- 잔량은 동일 완박스혼합그룹을 우선 합포</t>
  </si>
  <si>
    <t>- 그룹이 달라도 완박스입수량/완박스박스코드가 같고 치수 및 개당중량 차이가 허용오차 이내이며 혼합완박스허용여부=Y면 합포 가능</t>
  </si>
  <si>
    <t>- 허용오차: 가로/세로/높이 0.3cm, 개당중량 0.005kg</t>
  </si>
  <si>
    <t>- 상품 매칭 실패 시 수동검토 없이 MATCH_FAILED로 종료</t>
  </si>
  <si>
    <t>제품규격표.xlsx 기준 정규화</t>
  </si>
  <si>
    <t>상품코드</t>
  </si>
  <si>
    <t>국문상품명</t>
  </si>
  <si>
    <t>가로(cm)</t>
  </si>
  <si>
    <t>세로(cm)</t>
  </si>
  <si>
    <t>높이(cm)</t>
  </si>
  <si>
    <t>개당중량(kg)</t>
  </si>
  <si>
    <t>특수상품군</t>
  </si>
  <si>
    <t>사용여부</t>
  </si>
  <si>
    <t>원본파일</t>
  </si>
  <si>
    <t>패키지상품여부</t>
  </si>
  <si>
    <t>특수우선박스코드</t>
  </si>
  <si>
    <t>특수우선입수량</t>
  </si>
  <si>
    <t>패킹정책코드</t>
  </si>
  <si>
    <t>패키지정책참조</t>
  </si>
  <si>
    <t>완박스입수량</t>
  </si>
  <si>
    <t>완박스박스코드</t>
  </si>
  <si>
    <t>완박스박스명</t>
  </si>
  <si>
    <t>혼합완박스허용여부</t>
  </si>
  <si>
    <t>완박스혼합그룹</t>
  </si>
  <si>
    <t>B00010</t>
  </si>
  <si>
    <t>Y</t>
  </si>
  <si>
    <t>제품규격표.xlsx</t>
  </si>
  <si>
    <t>N</t>
  </si>
  <si>
    <t>B00020</t>
  </si>
  <si>
    <t>나보타 200u</t>
  </si>
  <si>
    <t>B0024</t>
  </si>
  <si>
    <t>뉴로녹스 50u</t>
  </si>
  <si>
    <t>B00025</t>
  </si>
  <si>
    <t>뉴로녹스 100u</t>
  </si>
  <si>
    <t>B00026</t>
  </si>
  <si>
    <t>뉴로녹스 200u</t>
  </si>
  <si>
    <t>B00130</t>
  </si>
  <si>
    <t>디스포트</t>
  </si>
  <si>
    <t>B00125</t>
  </si>
  <si>
    <t>리엔톡스 100u</t>
  </si>
  <si>
    <t>B00126</t>
  </si>
  <si>
    <t>리엔톡스 200u</t>
  </si>
  <si>
    <t>B00119</t>
  </si>
  <si>
    <t>리즈톡스 100U</t>
  </si>
  <si>
    <t>B00120</t>
  </si>
  <si>
    <t>리즈톡스 200U</t>
  </si>
  <si>
    <t>B00030</t>
  </si>
  <si>
    <t>메디톡신 100u</t>
  </si>
  <si>
    <t>B00050</t>
  </si>
  <si>
    <t>메디톡신 200u</t>
  </si>
  <si>
    <t>B00060#</t>
  </si>
  <si>
    <t>보툴렉스 50u</t>
  </si>
  <si>
    <t>B00060</t>
  </si>
  <si>
    <t>보툴렉스 100u</t>
  </si>
  <si>
    <t>B00080</t>
  </si>
  <si>
    <t>보툴렉스 200u</t>
  </si>
  <si>
    <t>B00110</t>
  </si>
  <si>
    <t>원더톡스 100U</t>
  </si>
  <si>
    <t>B00112</t>
  </si>
  <si>
    <t>원더톡스 200U</t>
  </si>
  <si>
    <t>A100320</t>
  </si>
  <si>
    <t>원톡스200U</t>
  </si>
  <si>
    <t>FBX010</t>
  </si>
  <si>
    <t>완박스 39.5x22.5x39.5</t>
  </si>
  <si>
    <t>FBG041</t>
  </si>
  <si>
    <t>A100310</t>
  </si>
  <si>
    <t>B00100</t>
  </si>
  <si>
    <t>이노톡스 100u</t>
  </si>
  <si>
    <t>B00090</t>
  </si>
  <si>
    <t>이노톡스 50u</t>
  </si>
  <si>
    <t>B00114</t>
  </si>
  <si>
    <t>엘러간 50u</t>
  </si>
  <si>
    <t>B00115</t>
  </si>
  <si>
    <t>제오민</t>
  </si>
  <si>
    <t>B00140</t>
  </si>
  <si>
    <t>코어톡스 100u</t>
  </si>
  <si>
    <t>A00540</t>
  </si>
  <si>
    <t>고우리</t>
  </si>
  <si>
    <t>A01150</t>
  </si>
  <si>
    <t>글램 어필</t>
  </si>
  <si>
    <t>A01400</t>
  </si>
  <si>
    <t>글램필</t>
  </si>
  <si>
    <t>D00220</t>
  </si>
  <si>
    <t>글루택스 랩</t>
  </si>
  <si>
    <t>C00020</t>
  </si>
  <si>
    <t>뉴라덤 엔엠피에스</t>
  </si>
  <si>
    <t>A00060</t>
  </si>
  <si>
    <t>뉴라미스 볼륨 리도</t>
  </si>
  <si>
    <t>A00040</t>
  </si>
  <si>
    <t>뉴라미스 딥 리도</t>
  </si>
  <si>
    <t>A00030</t>
  </si>
  <si>
    <t>뉴라미스 리도(실버)</t>
  </si>
  <si>
    <t>A00075</t>
  </si>
  <si>
    <t>뉴라미스 라이트 리도</t>
  </si>
  <si>
    <t>A00050</t>
  </si>
  <si>
    <t>뉴라미스 딥 노리도</t>
  </si>
  <si>
    <t>A00051</t>
  </si>
  <si>
    <t>뉴라미스 딥 노리도(수출용)</t>
  </si>
  <si>
    <t>A00970</t>
  </si>
  <si>
    <t>닥터 CYJ</t>
  </si>
  <si>
    <t>D00261</t>
  </si>
  <si>
    <t>닥터 리포 브이</t>
  </si>
  <si>
    <t>D00260</t>
  </si>
  <si>
    <t>닥터 리포 플러스</t>
  </si>
  <si>
    <t>C00030</t>
  </si>
  <si>
    <t>닥터 마커스 hrc 크림</t>
  </si>
  <si>
    <t>C00040</t>
  </si>
  <si>
    <t>닥터 마커스 카밍폼</t>
  </si>
  <si>
    <t>C00050</t>
  </si>
  <si>
    <t>더마 파운데이션#21</t>
  </si>
  <si>
    <t>C00060</t>
  </si>
  <si>
    <t>더마 파운데이션#23</t>
  </si>
  <si>
    <t>A00080</t>
  </si>
  <si>
    <t>더마렉스 임플란트</t>
  </si>
  <si>
    <t>A00090</t>
  </si>
  <si>
    <t>더마렉스 딥 플러스</t>
  </si>
  <si>
    <t>A00100</t>
  </si>
  <si>
    <t>더마렉스 플러스</t>
  </si>
  <si>
    <t>A00700</t>
  </si>
  <si>
    <t>더마렌 SUB-Q 리도</t>
  </si>
  <si>
    <t>A00680</t>
  </si>
  <si>
    <t>더마렌 딥 리도</t>
  </si>
  <si>
    <t>A00710</t>
  </si>
  <si>
    <t>더마렌 SUB-Q 노리도</t>
  </si>
  <si>
    <t>A00690</t>
  </si>
  <si>
    <t>더마렌 딥 노리도</t>
  </si>
  <si>
    <t>A00990</t>
  </si>
  <si>
    <t>더마힐 HL</t>
  </si>
  <si>
    <t>A00980</t>
  </si>
  <si>
    <t>더마힐 HSR</t>
  </si>
  <si>
    <t>D00302</t>
  </si>
  <si>
    <t>더마힐 SR</t>
  </si>
  <si>
    <t>D00301</t>
  </si>
  <si>
    <t>더마힐 SB</t>
  </si>
  <si>
    <t>D00300</t>
  </si>
  <si>
    <t>더마힐 LL</t>
  </si>
  <si>
    <t>C00260</t>
  </si>
  <si>
    <t>더마힐 다크서클</t>
  </si>
  <si>
    <t>C00261</t>
  </si>
  <si>
    <t>더마힐 아이백</t>
  </si>
  <si>
    <t>A01051</t>
  </si>
  <si>
    <t>데네브 클래식 에스 리도</t>
  </si>
  <si>
    <t>A01040</t>
  </si>
  <si>
    <t>데네브 클래식 에이치 리도</t>
  </si>
  <si>
    <t>A01050</t>
  </si>
  <si>
    <t>데네브 클래식 에이치 노리도</t>
  </si>
  <si>
    <t>C00070</t>
  </si>
  <si>
    <t>드메이 PN솔루션</t>
  </si>
  <si>
    <t>DEMEI</t>
  </si>
  <si>
    <t>C00080</t>
  </si>
  <si>
    <t>드메이 샤인부스터</t>
  </si>
  <si>
    <t>C00090</t>
  </si>
  <si>
    <t>드메이 카인크림</t>
  </si>
  <si>
    <t>C00100</t>
  </si>
  <si>
    <t>드메이 플러스크림</t>
  </si>
  <si>
    <t>A00130</t>
  </si>
  <si>
    <t>드메이3</t>
  </si>
  <si>
    <t>A00140</t>
  </si>
  <si>
    <t>드메이 CE1</t>
  </si>
  <si>
    <t>A00150</t>
  </si>
  <si>
    <t>드메이 CE2</t>
  </si>
  <si>
    <t>A00160</t>
  </si>
  <si>
    <t>드메이 CE3</t>
  </si>
  <si>
    <t>A00161</t>
  </si>
  <si>
    <t>드메이 플러스1</t>
  </si>
  <si>
    <t>A00162</t>
  </si>
  <si>
    <t>드메이 플러스2</t>
  </si>
  <si>
    <t>A00163</t>
  </si>
  <si>
    <t>드메이 플러스3</t>
  </si>
  <si>
    <t>A00164</t>
  </si>
  <si>
    <t>드메이 VIP 볼륨</t>
  </si>
  <si>
    <t>A00165</t>
  </si>
  <si>
    <t>드메이 VIP 딥</t>
  </si>
  <si>
    <t>A00166</t>
  </si>
  <si>
    <t>드메이 VIP 파인</t>
  </si>
  <si>
    <t>A00167</t>
  </si>
  <si>
    <t>로얄 HA 콜라겐 임플란트</t>
  </si>
  <si>
    <t>A00168</t>
  </si>
  <si>
    <t>로얄 HA 콜라겐 딥</t>
  </si>
  <si>
    <t>A00169</t>
  </si>
  <si>
    <t>로얄 HA 콜라겐 소프트</t>
  </si>
  <si>
    <t>A01414</t>
  </si>
  <si>
    <t>라스뷰 스트롱 리도</t>
  </si>
  <si>
    <t>D00510</t>
  </si>
  <si>
    <t>라푸른 오로라 비비드</t>
  </si>
  <si>
    <t>D00520</t>
  </si>
  <si>
    <t>라푸른 오로라 슈퍼</t>
  </si>
  <si>
    <t>D00010</t>
  </si>
  <si>
    <t>라이넥스</t>
  </si>
  <si>
    <t>A01441</t>
  </si>
  <si>
    <t>레나 2</t>
  </si>
  <si>
    <t>A01442</t>
  </si>
  <si>
    <t>레나 3</t>
  </si>
  <si>
    <t>A01443</t>
  </si>
  <si>
    <t>레나 4</t>
  </si>
  <si>
    <t>E00010</t>
  </si>
  <si>
    <t>레니스나</t>
  </si>
  <si>
    <t>E00100</t>
  </si>
  <si>
    <t>레디어스</t>
  </si>
  <si>
    <t>D00320</t>
  </si>
  <si>
    <t>레보필 아쿠아샤인 BR</t>
  </si>
  <si>
    <t>D00330</t>
  </si>
  <si>
    <t>레보필 아쿠아샤인 PTX</t>
  </si>
  <si>
    <t>D00310</t>
  </si>
  <si>
    <t>레보필 아쿠아샤인 클래식</t>
  </si>
  <si>
    <t>A01032</t>
  </si>
  <si>
    <t>레보필 울트라(유럽용)</t>
  </si>
  <si>
    <t>A01020</t>
  </si>
  <si>
    <t>레보필 파인</t>
  </si>
  <si>
    <t>A01030</t>
  </si>
  <si>
    <t>레보필 플러스</t>
  </si>
  <si>
    <t>A00730</t>
  </si>
  <si>
    <t>레볼락스 서브큐</t>
  </si>
  <si>
    <t>A00720</t>
  </si>
  <si>
    <t>레볼락스 딥</t>
  </si>
  <si>
    <t>A00740</t>
  </si>
  <si>
    <t>레볼락스 파인</t>
  </si>
  <si>
    <t>A01371</t>
  </si>
  <si>
    <t>레스틸렌 디파인 리도</t>
  </si>
  <si>
    <t>A01372</t>
  </si>
  <si>
    <t>레스틸렌 볼림 리도</t>
  </si>
  <si>
    <t>A01374</t>
  </si>
  <si>
    <t>레스틸렌 리프트 리도</t>
  </si>
  <si>
    <t>A01373</t>
  </si>
  <si>
    <t>레스틸렌 리파인 리도</t>
  </si>
  <si>
    <t>A01375</t>
  </si>
  <si>
    <t>레스틸렌 키스 리도</t>
  </si>
  <si>
    <t>D00540</t>
  </si>
  <si>
    <t>레스틸렌 스킨부스터 비탈 리도</t>
  </si>
  <si>
    <t>A00839</t>
  </si>
  <si>
    <t>리제노뷰 서브큐 리도</t>
  </si>
  <si>
    <t>A00838</t>
  </si>
  <si>
    <t>리제노뷰 딥 리도</t>
  </si>
  <si>
    <t>A00837</t>
  </si>
  <si>
    <t>리제노뷰 파인 리도</t>
  </si>
  <si>
    <t>A00860</t>
  </si>
  <si>
    <t>리제노뷰 서브큐 노리도</t>
  </si>
  <si>
    <t>A00850</t>
  </si>
  <si>
    <t>리제노뷰 딥 노리도</t>
  </si>
  <si>
    <t>A00840</t>
  </si>
  <si>
    <t>리제노뷰 파인 노리도</t>
  </si>
  <si>
    <t>D00280</t>
  </si>
  <si>
    <t>리제노뷰 아쿠아샤인</t>
  </si>
  <si>
    <t>D00290</t>
  </si>
  <si>
    <t>리제노뷰 아쿠아샤인 플러스</t>
  </si>
  <si>
    <t>C00160</t>
  </si>
  <si>
    <t>루치온 1200mg</t>
  </si>
  <si>
    <t>C00150</t>
  </si>
  <si>
    <t>루치온 600mg</t>
  </si>
  <si>
    <t>C00161</t>
  </si>
  <si>
    <t>더글루타치온 1200mg</t>
  </si>
  <si>
    <t>D00091</t>
  </si>
  <si>
    <t>더비타민</t>
  </si>
  <si>
    <t>D00090</t>
  </si>
  <si>
    <t>비타민씨</t>
  </si>
  <si>
    <t>D00100</t>
  </si>
  <si>
    <t>신델라</t>
  </si>
  <si>
    <t>A00750</t>
  </si>
  <si>
    <t>리제니스 쉐이프</t>
  </si>
  <si>
    <t>A00760</t>
  </si>
  <si>
    <t>리제니스 딥</t>
  </si>
  <si>
    <t>A00770</t>
  </si>
  <si>
    <t>리제니스 파인</t>
  </si>
  <si>
    <t>A00771</t>
  </si>
  <si>
    <t>리제니스 스파클</t>
  </si>
  <si>
    <t>D00380</t>
  </si>
  <si>
    <t>리쥬란 힐러 (니들)</t>
  </si>
  <si>
    <t>C00110</t>
  </si>
  <si>
    <t>리쥬란 힐러 트루스킨</t>
  </si>
  <si>
    <t>C00120</t>
  </si>
  <si>
    <t>리쥬란 HB</t>
  </si>
  <si>
    <t>C00130</t>
  </si>
  <si>
    <t>리쥬란 I</t>
  </si>
  <si>
    <t>C00140</t>
  </si>
  <si>
    <t>리쥬란 S</t>
  </si>
  <si>
    <t>D00400</t>
  </si>
  <si>
    <t>리쥬란 스킨부스터</t>
  </si>
  <si>
    <t>D00390</t>
  </si>
  <si>
    <t>리쥬란 톤업부스터</t>
  </si>
  <si>
    <t>D00020</t>
  </si>
  <si>
    <t>리포라제</t>
  </si>
  <si>
    <t>D00030</t>
  </si>
  <si>
    <t>리포랩 바디(GMS)</t>
  </si>
  <si>
    <t>D00035</t>
  </si>
  <si>
    <t>리포랩 바디(메디허브)</t>
  </si>
  <si>
    <t>D00040</t>
  </si>
  <si>
    <t>리포랩 브이라인(메디허브)</t>
  </si>
  <si>
    <t>D00045</t>
  </si>
  <si>
    <t>리포랩 브이라인(GMS)</t>
  </si>
  <si>
    <t>D00048</t>
  </si>
  <si>
    <t>브이 라이트 솔루션</t>
  </si>
  <si>
    <t>A00620</t>
  </si>
  <si>
    <t>리플렌젠 볼륨</t>
  </si>
  <si>
    <t>REPLENGEN</t>
  </si>
  <si>
    <t>A00610</t>
  </si>
  <si>
    <t>리플렌젠 딥</t>
  </si>
  <si>
    <t>A00600</t>
  </si>
  <si>
    <t>리플렌젠 파인</t>
  </si>
  <si>
    <t>D00570</t>
  </si>
  <si>
    <t>리체스 아이즈</t>
  </si>
  <si>
    <t>RICHESSE_C</t>
  </si>
  <si>
    <t>D00571</t>
  </si>
  <si>
    <t>리체스 콜라필로</t>
  </si>
  <si>
    <t>D00572</t>
  </si>
  <si>
    <t>리체스 PLA</t>
  </si>
  <si>
    <t>A01010</t>
  </si>
  <si>
    <t>메데이라 쉐이프 리도</t>
  </si>
  <si>
    <t>A01000</t>
  </si>
  <si>
    <t>메데이라 딥 리도</t>
  </si>
  <si>
    <t>A00998</t>
  </si>
  <si>
    <t>메데이라 파인 리도</t>
  </si>
  <si>
    <t>D00210</t>
  </si>
  <si>
    <t>메르스몬</t>
  </si>
  <si>
    <t>A01140</t>
  </si>
  <si>
    <t>모나리자 울트라</t>
  </si>
  <si>
    <t>A01120</t>
  </si>
  <si>
    <t>모나리자 하드 리도</t>
  </si>
  <si>
    <t>A01100</t>
  </si>
  <si>
    <t>모나리자 마일드 리도</t>
  </si>
  <si>
    <t>A01080</t>
  </si>
  <si>
    <t>모나리자 소프트 리도</t>
  </si>
  <si>
    <t>A00830</t>
  </si>
  <si>
    <t>미라인 볼륨</t>
  </si>
  <si>
    <t>A00825</t>
  </si>
  <si>
    <t>미라인 딥</t>
  </si>
  <si>
    <t>A00820</t>
  </si>
  <si>
    <t>미라인 클래식</t>
  </si>
  <si>
    <t>A00831</t>
  </si>
  <si>
    <t>미라인 딥 리도</t>
  </si>
  <si>
    <t>C00170</t>
  </si>
  <si>
    <t>미라클 H</t>
  </si>
  <si>
    <t>C00182</t>
  </si>
  <si>
    <t>미라클 L</t>
  </si>
  <si>
    <t>C00183</t>
  </si>
  <si>
    <t>미라클 TOUCH BR</t>
  </si>
  <si>
    <t>A00940</t>
  </si>
  <si>
    <t>미스필 볼륨 리도</t>
  </si>
  <si>
    <t>A00930</t>
  </si>
  <si>
    <t>미스필 딥 리도</t>
  </si>
  <si>
    <t>A00929</t>
  </si>
  <si>
    <t>미스필 라이트 리도</t>
  </si>
  <si>
    <t>D00560</t>
  </si>
  <si>
    <t>미스필 에프앤비</t>
  </si>
  <si>
    <t>D00561</t>
  </si>
  <si>
    <t>미스필 플러스 PDRN</t>
  </si>
  <si>
    <t>D00600</t>
  </si>
  <si>
    <t>바이리즌</t>
  </si>
  <si>
    <t>A00170</t>
  </si>
  <si>
    <t>벨라스트 울트라 플러스</t>
  </si>
  <si>
    <t>A00180</t>
  </si>
  <si>
    <t>벨라스트 울트라 L</t>
  </si>
  <si>
    <t>A00190</t>
  </si>
  <si>
    <t>벨라스트 울트라 소프트 L</t>
  </si>
  <si>
    <t>A01330</t>
  </si>
  <si>
    <t>보네타 필러 딥 리도</t>
  </si>
  <si>
    <t>A01331</t>
  </si>
  <si>
    <t>보네타 필러 볼륨 리도</t>
  </si>
  <si>
    <t>A01332</t>
  </si>
  <si>
    <t>보네타 필러 파인 리도</t>
  </si>
  <si>
    <t>A00230</t>
  </si>
  <si>
    <t>봄필러 라이트</t>
  </si>
  <si>
    <t>A00240</t>
  </si>
  <si>
    <t>봄필러 볼륨</t>
  </si>
  <si>
    <t>A00250</t>
  </si>
  <si>
    <t>봄필러 인텐시브</t>
  </si>
  <si>
    <t>D00200</t>
  </si>
  <si>
    <t>브이라인 솔 페이스</t>
  </si>
  <si>
    <t>E00101</t>
  </si>
  <si>
    <t>비닉스 50mg</t>
  </si>
  <si>
    <t>비닉스 100mg</t>
  </si>
  <si>
    <t>C00200</t>
  </si>
  <si>
    <t>비알팜 A솔루션에센스</t>
  </si>
  <si>
    <t>A00950</t>
  </si>
  <si>
    <t>비에스타 바디</t>
  </si>
  <si>
    <t>D00240</t>
  </si>
  <si>
    <t>비엔메조 37-13</t>
  </si>
  <si>
    <t>D00243</t>
  </si>
  <si>
    <t>비엔메조 30-13</t>
  </si>
  <si>
    <t>D00241</t>
  </si>
  <si>
    <t>비엔메조 30-4</t>
  </si>
  <si>
    <t>D00242</t>
  </si>
  <si>
    <t>비엔메조 30-6</t>
  </si>
  <si>
    <t>D00246</t>
  </si>
  <si>
    <t>비엔메조 31-13</t>
  </si>
  <si>
    <t>D00244</t>
  </si>
  <si>
    <t>비엔메조 31-4</t>
  </si>
  <si>
    <t>D00245</t>
  </si>
  <si>
    <t>비엔메조 31-6</t>
  </si>
  <si>
    <t>D00247</t>
  </si>
  <si>
    <t>비엔메조 32-4</t>
  </si>
  <si>
    <t>D00248</t>
  </si>
  <si>
    <t>비엔메조 32-6</t>
  </si>
  <si>
    <t>D00249</t>
  </si>
  <si>
    <t>비엔메조 33-4</t>
  </si>
  <si>
    <t>D00250</t>
  </si>
  <si>
    <t>비엔메조 34-4</t>
  </si>
  <si>
    <t>C00240</t>
  </si>
  <si>
    <t>비엔필</t>
  </si>
  <si>
    <t>A00670</t>
  </si>
  <si>
    <t>비즈맥스 클래식 H</t>
  </si>
  <si>
    <t>D00530</t>
  </si>
  <si>
    <t>비쥬넬 리쥬베로</t>
  </si>
  <si>
    <t>D00531</t>
  </si>
  <si>
    <t>비쥬넬 뷰티라인 솔루션</t>
  </si>
  <si>
    <t>D00230</t>
  </si>
  <si>
    <t>삭센다</t>
  </si>
  <si>
    <t>A00282</t>
  </si>
  <si>
    <t>샤르데니아 임플란트 리도</t>
  </si>
  <si>
    <t>A00280</t>
  </si>
  <si>
    <t>샤르데니아 쉐이프 리도</t>
  </si>
  <si>
    <t>A00260</t>
  </si>
  <si>
    <t>샤르데니아 딥 리도</t>
  </si>
  <si>
    <t>A00270</t>
  </si>
  <si>
    <t>샤르데니아 파인 리도</t>
  </si>
  <si>
    <t>A00630</t>
  </si>
  <si>
    <t>세디필</t>
  </si>
  <si>
    <t>E00110</t>
  </si>
  <si>
    <t>센트립 20mg</t>
  </si>
  <si>
    <t>A00890</t>
  </si>
  <si>
    <t>셀로좀 임플란트 리도</t>
  </si>
  <si>
    <t>CELLOZOME</t>
  </si>
  <si>
    <t>A00920</t>
  </si>
  <si>
    <t>셀로좀 스트롱 리도</t>
  </si>
  <si>
    <t>A00900</t>
  </si>
  <si>
    <t>셀로좀 미드 리도</t>
  </si>
  <si>
    <t>A00910</t>
  </si>
  <si>
    <t>셀로좀 소프트 리도</t>
  </si>
  <si>
    <t>A00922</t>
  </si>
  <si>
    <t>셀로좀 아쿠아 리도</t>
  </si>
  <si>
    <t>A00923</t>
  </si>
  <si>
    <t>셀로좀 아쿠아 노리도</t>
  </si>
  <si>
    <t>A00921</t>
  </si>
  <si>
    <t>셀로좀 엑스폼</t>
  </si>
  <si>
    <t>A00921#</t>
  </si>
  <si>
    <t>셀로좀 엑스쉐이프</t>
  </si>
  <si>
    <t>A01170</t>
  </si>
  <si>
    <t>소숨 소프트</t>
  </si>
  <si>
    <t>A01171</t>
  </si>
  <si>
    <t>소숨 H</t>
  </si>
  <si>
    <t>A01173</t>
  </si>
  <si>
    <t>소숨 S</t>
  </si>
  <si>
    <t>A01160</t>
  </si>
  <si>
    <t>스타일에이지 L 리도</t>
  </si>
  <si>
    <t>스타일에이지 M 리도</t>
  </si>
  <si>
    <t>D00270</t>
  </si>
  <si>
    <t>시니로</t>
  </si>
  <si>
    <t>아이스 카인크림</t>
  </si>
  <si>
    <t>A01320</t>
  </si>
  <si>
    <t>아띠에르 인텐시브 리도</t>
  </si>
  <si>
    <t>A01321</t>
  </si>
  <si>
    <t>아띠에르 볼륨 리도</t>
  </si>
  <si>
    <t>A01322</t>
  </si>
  <si>
    <t>아띠에르 클래식 리도</t>
  </si>
  <si>
    <t>C00220</t>
  </si>
  <si>
    <t>아미아이즈</t>
  </si>
  <si>
    <t>D00610</t>
  </si>
  <si>
    <t>올리디아</t>
  </si>
  <si>
    <t>A01420</t>
  </si>
  <si>
    <t>유스필 쉐이프 리도</t>
  </si>
  <si>
    <t>A01421</t>
  </si>
  <si>
    <t>유스필 딥 리도</t>
  </si>
  <si>
    <t>A01422</t>
  </si>
  <si>
    <t>유스필 파인 리도</t>
  </si>
  <si>
    <t>E00120</t>
  </si>
  <si>
    <t>에피네프린주</t>
  </si>
  <si>
    <t>A00290</t>
  </si>
  <si>
    <t>에스테필</t>
  </si>
  <si>
    <t>C00270</t>
  </si>
  <si>
    <t>엑소마지 더블레이어키트</t>
  </si>
  <si>
    <t>A00320</t>
  </si>
  <si>
    <t>엘라비에 볼륨</t>
  </si>
  <si>
    <t>A00310</t>
  </si>
  <si>
    <t>엘라비에 딥</t>
  </si>
  <si>
    <t>A00300</t>
  </si>
  <si>
    <t>엘라비에 라이트</t>
  </si>
  <si>
    <t>C00250</t>
  </si>
  <si>
    <t>엘라젠 PLLA</t>
  </si>
  <si>
    <t>A01391</t>
  </si>
  <si>
    <t>엘라스티 G 노리도</t>
  </si>
  <si>
    <t>ELASTY</t>
  </si>
  <si>
    <t>A01392</t>
  </si>
  <si>
    <t>엘라스티 D 노리도</t>
  </si>
  <si>
    <t>A01390</t>
  </si>
  <si>
    <t>엘라스티 F 노리도</t>
  </si>
  <si>
    <t>A01393</t>
  </si>
  <si>
    <t>엘라스티 G 리도</t>
  </si>
  <si>
    <t>A01394</t>
  </si>
  <si>
    <t>엘라스티 D 리도</t>
  </si>
  <si>
    <t>A01395</t>
  </si>
  <si>
    <t>엘라스티 F 리도</t>
  </si>
  <si>
    <t>A01380</t>
  </si>
  <si>
    <t>엘란쎄 M</t>
  </si>
  <si>
    <t>A01381</t>
  </si>
  <si>
    <t>엘란쎄 S</t>
  </si>
  <si>
    <t>A00350</t>
  </si>
  <si>
    <t>이브아르 컨투어</t>
  </si>
  <si>
    <t>A00340</t>
  </si>
  <si>
    <t>이브아르 볼륨</t>
  </si>
  <si>
    <t>이브아르 클래식</t>
  </si>
  <si>
    <t>D00580</t>
  </si>
  <si>
    <t>제이드 리포 바디</t>
  </si>
  <si>
    <t>D00581</t>
  </si>
  <si>
    <t>제이드 리포 페이스</t>
  </si>
  <si>
    <t>C00301</t>
  </si>
  <si>
    <t>제이드 카인크림</t>
  </si>
  <si>
    <t>E00090</t>
  </si>
  <si>
    <t>쥬비덤 볼룩스</t>
  </si>
  <si>
    <t>A00360</t>
  </si>
  <si>
    <t>쥬비덤 볼루마</t>
  </si>
  <si>
    <t>A00362</t>
  </si>
  <si>
    <t>쥬비덤 볼리프트</t>
  </si>
  <si>
    <t>A00364</t>
  </si>
  <si>
    <t>쥬비덤 볼벨라</t>
  </si>
  <si>
    <t>A00361</t>
  </si>
  <si>
    <t>쥬비덤 볼라이트</t>
  </si>
  <si>
    <t>쥬벨룩</t>
  </si>
  <si>
    <t>A00370</t>
  </si>
  <si>
    <t>채움 스타일1</t>
  </si>
  <si>
    <t>A00409</t>
  </si>
  <si>
    <t>채움 1</t>
  </si>
  <si>
    <t>A00410</t>
  </si>
  <si>
    <t>채움 2</t>
  </si>
  <si>
    <t>A00420</t>
  </si>
  <si>
    <t>채움 3</t>
  </si>
  <si>
    <t>A00430</t>
  </si>
  <si>
    <t>채움 4</t>
  </si>
  <si>
    <t>A00550</t>
  </si>
  <si>
    <t>카벨라인</t>
  </si>
  <si>
    <t>D00360</t>
  </si>
  <si>
    <t>큐라센</t>
  </si>
  <si>
    <t>C00190</t>
  </si>
  <si>
    <t>키아라레쥬</t>
  </si>
  <si>
    <t>A00817</t>
  </si>
  <si>
    <t>테소로 임플란트</t>
  </si>
  <si>
    <t>A00813</t>
  </si>
  <si>
    <t>테소로 서브큐 리도</t>
  </si>
  <si>
    <t>A00800</t>
  </si>
  <si>
    <t>테소로 딥 리도</t>
  </si>
  <si>
    <t>A00818</t>
  </si>
  <si>
    <t>테소로 파인 리도</t>
  </si>
  <si>
    <t>A00814</t>
  </si>
  <si>
    <t>테소로 서브큐 노리도</t>
  </si>
  <si>
    <t>A00810</t>
  </si>
  <si>
    <t>테소로 딥 노리도</t>
  </si>
  <si>
    <t>A00819</t>
  </si>
  <si>
    <t>테소로 파인 노리도</t>
  </si>
  <si>
    <t>D00340</t>
  </si>
  <si>
    <t>파이즈 PLA</t>
  </si>
  <si>
    <t>A00880</t>
  </si>
  <si>
    <t>페이스템</t>
  </si>
  <si>
    <t>A01431</t>
  </si>
  <si>
    <t>플로리스 서브큐 리도</t>
  </si>
  <si>
    <t>A01430</t>
  </si>
  <si>
    <t>플로리스 딥 리도</t>
  </si>
  <si>
    <t>A01060</t>
  </si>
  <si>
    <t>필 에딕션 1cc</t>
  </si>
  <si>
    <t>A01070</t>
  </si>
  <si>
    <t>필 에딕션 3cc</t>
  </si>
  <si>
    <t>D00145</t>
  </si>
  <si>
    <t>필소프트 케놀라 21*50</t>
  </si>
  <si>
    <t>D00150</t>
  </si>
  <si>
    <t>필소프트 케놀라 22*50</t>
  </si>
  <si>
    <t>D00160</t>
  </si>
  <si>
    <t>필소프트 케놀라 22*70</t>
  </si>
  <si>
    <t>D00170</t>
  </si>
  <si>
    <t>필소프트 케놀라 23*50</t>
  </si>
  <si>
    <t>D00180</t>
  </si>
  <si>
    <t>필소프트 케놀라 25*50</t>
  </si>
  <si>
    <t>A00650</t>
  </si>
  <si>
    <t>하이알듀 올 리도</t>
  </si>
  <si>
    <t>A00640</t>
  </si>
  <si>
    <t>하이알듀 미드 리도</t>
  </si>
  <si>
    <t>A00648</t>
  </si>
  <si>
    <t>하이알듀 파인 리도</t>
  </si>
  <si>
    <t>A00651</t>
  </si>
  <si>
    <t>하이알듀 올 노리도</t>
  </si>
  <si>
    <t>A00645</t>
  </si>
  <si>
    <t>하이알듀 미드 노리도</t>
  </si>
  <si>
    <t>A00649</t>
  </si>
  <si>
    <t>하이알듀 파인 노리도</t>
  </si>
  <si>
    <t>A00652</t>
  </si>
  <si>
    <t>하이알듀 샤인</t>
  </si>
  <si>
    <t>D00490</t>
  </si>
  <si>
    <t>하이주</t>
  </si>
  <si>
    <t>A00872</t>
  </si>
  <si>
    <t>한힐 HA</t>
  </si>
  <si>
    <t>A00871</t>
  </si>
  <si>
    <t>한힐 PDRN</t>
  </si>
  <si>
    <t>A00870</t>
  </si>
  <si>
    <t>한힐 헤어</t>
  </si>
  <si>
    <t>C00210</t>
  </si>
  <si>
    <t>히아론 프리필드</t>
  </si>
  <si>
    <t>A00470</t>
  </si>
  <si>
    <t>히아필리아 그란데 (리도)</t>
  </si>
  <si>
    <t>A00480</t>
  </si>
  <si>
    <t>히아필리아 클래식 (리도)</t>
  </si>
  <si>
    <t>A00490</t>
  </si>
  <si>
    <t>히아필리아 쁘띠 (리도)</t>
  </si>
  <si>
    <t>A00440</t>
  </si>
  <si>
    <t>히아필리아 그란데 (노리도)</t>
  </si>
  <si>
    <t>A00500</t>
  </si>
  <si>
    <t>히아필리아 미:담 프라임</t>
  </si>
  <si>
    <t>A00510</t>
  </si>
  <si>
    <t>히아필리아 미:담 딥</t>
  </si>
  <si>
    <t>A00520</t>
  </si>
  <si>
    <t>히아필리아 미:담 라이트</t>
  </si>
  <si>
    <t>A00527</t>
  </si>
  <si>
    <t>히아필리아 미:담 라이트 (노리도)</t>
  </si>
  <si>
    <t>히아필리아 임팩트</t>
  </si>
  <si>
    <t>D00590</t>
  </si>
  <si>
    <t>힙톡</t>
  </si>
  <si>
    <t>E45000</t>
  </si>
  <si>
    <t>아.크림엠디 100g</t>
  </si>
  <si>
    <t>E45001</t>
  </si>
  <si>
    <t>아.로션엠디 200g</t>
  </si>
  <si>
    <t>A300810</t>
  </si>
  <si>
    <t>리체스 PLA(cos)</t>
  </si>
  <si>
    <t>A300910</t>
  </si>
  <si>
    <t>리체스 글램필</t>
  </si>
  <si>
    <t>FBX063</t>
  </si>
  <si>
    <t>완박스 51x27x21</t>
  </si>
  <si>
    <t>FBG029</t>
  </si>
  <si>
    <t>A301065</t>
  </si>
  <si>
    <t>리체스 NAD+ 부스터(BOX)</t>
  </si>
  <si>
    <t>FBX070</t>
  </si>
  <si>
    <t>완박스 55x35x20</t>
  </si>
  <si>
    <t>FBG057</t>
  </si>
  <si>
    <t>A301066</t>
  </si>
  <si>
    <t>리체스 NAD+ 부스터(EA)</t>
  </si>
  <si>
    <t>A200520</t>
  </si>
  <si>
    <t>리체스 엑소19</t>
  </si>
  <si>
    <t>FBX066</t>
  </si>
  <si>
    <t>완박스 53x34x21</t>
  </si>
  <si>
    <t>FBG090</t>
  </si>
  <si>
    <t>A301030</t>
  </si>
  <si>
    <t>리체스 콜라필로 (COS)</t>
  </si>
  <si>
    <t>FBX026</t>
  </si>
  <si>
    <t>완박스 43x37x29</t>
  </si>
  <si>
    <t>FBG013</t>
  </si>
  <si>
    <t>A301113</t>
  </si>
  <si>
    <t>엑소원(I BOX)</t>
  </si>
  <si>
    <t>FBX071</t>
  </si>
  <si>
    <t>FBG058</t>
  </si>
  <si>
    <t>A301120</t>
  </si>
  <si>
    <t>엑소원V(BOX)</t>
  </si>
  <si>
    <t>FBX074</t>
  </si>
  <si>
    <t>완박스 56x35x20</t>
  </si>
  <si>
    <t>FBG059</t>
  </si>
  <si>
    <t>A200662</t>
  </si>
  <si>
    <t>원필 울트라 리도 (R)</t>
  </si>
  <si>
    <t>FBX038</t>
  </si>
  <si>
    <t>완박스 45.5x37x32.5</t>
  </si>
  <si>
    <t>FBG021</t>
  </si>
  <si>
    <t>A200664</t>
  </si>
  <si>
    <t>원필 서브큐 리도 (R)</t>
  </si>
  <si>
    <t>A200666</t>
  </si>
  <si>
    <t>원필 딥 리도 (R)</t>
  </si>
  <si>
    <t>A200668</t>
  </si>
  <si>
    <t>원필 클래식 리도 (R)</t>
  </si>
  <si>
    <t>A301220</t>
  </si>
  <si>
    <t>제이드 카인플러스크림</t>
  </si>
  <si>
    <t>FBX073</t>
  </si>
  <si>
    <t>완박스 55x48x15.5</t>
  </si>
  <si>
    <t>FBG040</t>
  </si>
  <si>
    <t>B308790</t>
  </si>
  <si>
    <t>AAPE Hair</t>
  </si>
  <si>
    <t>B310205</t>
  </si>
  <si>
    <t>NMN bottle</t>
  </si>
  <si>
    <t>B310250</t>
  </si>
  <si>
    <t>PIVV (Lidocaine cream 9.6%)</t>
  </si>
  <si>
    <t>B310515</t>
  </si>
  <si>
    <t>REVS PRIME PRO</t>
  </si>
  <si>
    <t>B310530</t>
  </si>
  <si>
    <t>SAVE B32 SP</t>
  </si>
  <si>
    <t>B309040</t>
  </si>
  <si>
    <t>겐타프로주</t>
  </si>
  <si>
    <t>B300470</t>
  </si>
  <si>
    <t>노바 NAD</t>
  </si>
  <si>
    <t>B300500</t>
  </si>
  <si>
    <t>뉴라덤 (3vial)</t>
  </si>
  <si>
    <t>B200360</t>
  </si>
  <si>
    <t>뉴라미스 딥 리도 CE</t>
  </si>
  <si>
    <t>B200355</t>
  </si>
  <si>
    <t>뉴라미스 볼륨 리도 CE</t>
  </si>
  <si>
    <t>B301110</t>
  </si>
  <si>
    <t>더 레드 슬림 앰플솔루션</t>
  </si>
  <si>
    <t>A100410</t>
  </si>
  <si>
    <t>독스100u</t>
  </si>
  <si>
    <t>FBX012</t>
  </si>
  <si>
    <t>FBG043</t>
  </si>
  <si>
    <t>A200155</t>
  </si>
  <si>
    <t>드메이#0 Hydra Solution</t>
  </si>
  <si>
    <t>FBX014</t>
  </si>
  <si>
    <t>완박스 40x38.5x27.5</t>
  </si>
  <si>
    <t>FBG068</t>
  </si>
  <si>
    <t>A300520</t>
  </si>
  <si>
    <t xml:space="preserve">드메이 H140 </t>
  </si>
  <si>
    <t>FBX053</t>
  </si>
  <si>
    <t>완박스 48x36x32</t>
  </si>
  <si>
    <t>FBG056</t>
  </si>
  <si>
    <t>A300430</t>
  </si>
  <si>
    <t>드메이 pla</t>
  </si>
  <si>
    <t>FBX046</t>
  </si>
  <si>
    <t>완박스 46x37x32</t>
  </si>
  <si>
    <t>FBG062</t>
  </si>
  <si>
    <t>A300530</t>
  </si>
  <si>
    <t>드메이 레디언스 잘루부스터</t>
  </si>
  <si>
    <t>FBX048</t>
  </si>
  <si>
    <t>FBG050</t>
  </si>
  <si>
    <t>A300350</t>
  </si>
  <si>
    <t>드메이 하이로우</t>
  </si>
  <si>
    <t>FBX045</t>
  </si>
  <si>
    <t>FBG025</t>
  </si>
  <si>
    <t>A300351</t>
  </si>
  <si>
    <t>드메이 하이로우 32</t>
  </si>
  <si>
    <t>FBX043</t>
  </si>
  <si>
    <t>FBG023</t>
  </si>
  <si>
    <t>B301700</t>
  </si>
  <si>
    <t>라인바디 하드</t>
  </si>
  <si>
    <t>B100350</t>
  </si>
  <si>
    <t>라인톡스100u</t>
  </si>
  <si>
    <t>B201060</t>
  </si>
  <si>
    <t>레나3 (10syr)</t>
  </si>
  <si>
    <t>B303020</t>
  </si>
  <si>
    <t>레스카인 크림 450g</t>
  </si>
  <si>
    <t>B100355</t>
  </si>
  <si>
    <t>레주락스200u</t>
  </si>
  <si>
    <t>B301750</t>
  </si>
  <si>
    <t>레쥬바 힐러 S</t>
  </si>
  <si>
    <t>A350120</t>
  </si>
  <si>
    <t>레포렘 PLA</t>
  </si>
  <si>
    <t>A350130</t>
  </si>
  <si>
    <t>레포렘 바디</t>
  </si>
  <si>
    <t>B150305</t>
  </si>
  <si>
    <t>롤리톡스100u</t>
  </si>
  <si>
    <t>B303060</t>
  </si>
  <si>
    <t>르파던 PN</t>
  </si>
  <si>
    <t>B309245</t>
  </si>
  <si>
    <t>리비탈렉스주</t>
  </si>
  <si>
    <t>B302425</t>
  </si>
  <si>
    <t>리쥬란 리커버 부스팅 젤</t>
  </si>
  <si>
    <t>B302130</t>
  </si>
  <si>
    <t>리쥬란 엘라스킨</t>
  </si>
  <si>
    <t>FBX090</t>
  </si>
  <si>
    <t>완박스 61.5x51.5x22</t>
  </si>
  <si>
    <t>FBG086</t>
  </si>
  <si>
    <t>B302100</t>
  </si>
  <si>
    <t>리쥬란 힐러 2.7CC</t>
  </si>
  <si>
    <t>FBX077</t>
  </si>
  <si>
    <t>완박스 58x48x26</t>
  </si>
  <si>
    <t>FBG084</t>
  </si>
  <si>
    <t>B309247</t>
  </si>
  <si>
    <t>리쥬베주</t>
  </si>
  <si>
    <t>A100510</t>
  </si>
  <si>
    <t>리체스 TX100</t>
  </si>
  <si>
    <t>A100520</t>
  </si>
  <si>
    <t>리체스 TX200</t>
  </si>
  <si>
    <t>C401430</t>
  </si>
  <si>
    <t>리체스 거울</t>
  </si>
  <si>
    <t>A200402</t>
  </si>
  <si>
    <t>리체스 라이트</t>
  </si>
  <si>
    <t>A200515</t>
  </si>
  <si>
    <t>리체스 레드 볼륨 no.7</t>
  </si>
  <si>
    <t>FBX013</t>
  </si>
  <si>
    <t>완박스 39.5x36.5x24.5</t>
  </si>
  <si>
    <t>FBG008</t>
  </si>
  <si>
    <t>A200517</t>
  </si>
  <si>
    <t>리체스 레드 볼륨 no.9</t>
  </si>
  <si>
    <t>A301060</t>
  </si>
  <si>
    <t>리체스 메조퀸 잘루부스터</t>
  </si>
  <si>
    <t>FBX047</t>
  </si>
  <si>
    <t>FBG049</t>
  </si>
  <si>
    <t>A200401</t>
  </si>
  <si>
    <t>리체스 미드</t>
  </si>
  <si>
    <t>A301015</t>
  </si>
  <si>
    <t>리체스 아이즈 (COS)</t>
  </si>
  <si>
    <t>FBX032</t>
  </si>
  <si>
    <t>완박스 45x37x32</t>
  </si>
  <si>
    <t>FBG018</t>
  </si>
  <si>
    <t>A301040</t>
  </si>
  <si>
    <t>리체스 아쿠아프라임</t>
  </si>
  <si>
    <t>FBX015</t>
  </si>
  <si>
    <t>FBG069</t>
  </si>
  <si>
    <t>A200485</t>
  </si>
  <si>
    <t>리체스 에프앤비</t>
  </si>
  <si>
    <t>FBX076</t>
  </si>
  <si>
    <t>완박스 57x28x15.5</t>
  </si>
  <si>
    <t>FBG083</t>
  </si>
  <si>
    <t>A200480</t>
  </si>
  <si>
    <t>리체스 에프앤비(Label)</t>
  </si>
  <si>
    <t>A200490</t>
  </si>
  <si>
    <t>리체스 젠슬림</t>
  </si>
  <si>
    <t>FBX055</t>
  </si>
  <si>
    <t>완박스 48x39x34</t>
  </si>
  <si>
    <t>FBG095</t>
  </si>
  <si>
    <t>A300700</t>
  </si>
  <si>
    <t>리체스 카인크림</t>
  </si>
  <si>
    <t>A300701</t>
  </si>
  <si>
    <t>리체스 카인크림 (30g)</t>
  </si>
  <si>
    <t>FBX068</t>
  </si>
  <si>
    <t>완박스 55x27x30</t>
  </si>
  <si>
    <t>FBG039</t>
  </si>
  <si>
    <t>A300702</t>
  </si>
  <si>
    <t>리체스 카인플러스크림</t>
  </si>
  <si>
    <t>A301050</t>
  </si>
  <si>
    <t>리체스 페이스</t>
  </si>
  <si>
    <t>FBX034</t>
  </si>
  <si>
    <t>FBG019</t>
  </si>
  <si>
    <t>A200400</t>
  </si>
  <si>
    <t>리체스 프로</t>
  </si>
  <si>
    <t>A301055</t>
  </si>
  <si>
    <t>리체스 하이로 프로 with PN</t>
  </si>
  <si>
    <t>FBX044</t>
  </si>
  <si>
    <t>FBG024</t>
  </si>
  <si>
    <t>C401440</t>
  </si>
  <si>
    <t>리체스 헤어밴드</t>
  </si>
  <si>
    <t>B302515</t>
  </si>
  <si>
    <t>리포 벨라 V</t>
  </si>
  <si>
    <t>B309140</t>
  </si>
  <si>
    <t>마시주사 10%</t>
  </si>
  <si>
    <t>B307475</t>
  </si>
  <si>
    <t>마운자로 2.5mg</t>
  </si>
  <si>
    <t>B100610</t>
  </si>
  <si>
    <t>메디톡신100U</t>
  </si>
  <si>
    <t>FBX003</t>
  </si>
  <si>
    <t>완박스 34x31x16</t>
  </si>
  <si>
    <t>FBG003</t>
  </si>
  <si>
    <t>B303240</t>
  </si>
  <si>
    <t>메조텐 아쿠아라이트</t>
  </si>
  <si>
    <t>B303220</t>
  </si>
  <si>
    <t>멜라셀 플러스</t>
  </si>
  <si>
    <t>B303440</t>
  </si>
  <si>
    <t>미라클X</t>
  </si>
  <si>
    <t>B202665</t>
  </si>
  <si>
    <t>미스필 PRP</t>
  </si>
  <si>
    <t>B202695</t>
  </si>
  <si>
    <t>미앤너스 플러스 360mg</t>
  </si>
  <si>
    <t>B303830</t>
  </si>
  <si>
    <t>벨라톡스 GF11</t>
  </si>
  <si>
    <t>B203070</t>
  </si>
  <si>
    <t>보나필 볼륨(1syr)</t>
  </si>
  <si>
    <t>A200560</t>
  </si>
  <si>
    <t>비디필 하드 (2syr)</t>
  </si>
  <si>
    <t>A200570</t>
  </si>
  <si>
    <t>비디필 미디엄 (2syr)</t>
  </si>
  <si>
    <t>A200580</t>
  </si>
  <si>
    <t>비디필 소프트 (2syr)</t>
  </si>
  <si>
    <t>B203380</t>
  </si>
  <si>
    <t>비엔필 딥 (CE)</t>
  </si>
  <si>
    <t>FBX028</t>
  </si>
  <si>
    <t>완박스 43x37x30</t>
  </si>
  <si>
    <t>FBG015</t>
  </si>
  <si>
    <t>B203350</t>
  </si>
  <si>
    <t>비엔필 딥 (내수용)</t>
  </si>
  <si>
    <t>B203370</t>
  </si>
  <si>
    <t>비엔필 볼륨 (CE)</t>
  </si>
  <si>
    <t>B203340</t>
  </si>
  <si>
    <t>비엔필 볼륨 (내수용)</t>
  </si>
  <si>
    <t>B203390</t>
  </si>
  <si>
    <t>비엔필 클래식 (CE)</t>
  </si>
  <si>
    <t>B309115</t>
  </si>
  <si>
    <t>B203450</t>
  </si>
  <si>
    <t>비텐 하이드로 플러스</t>
  </si>
  <si>
    <t>B305115</t>
  </si>
  <si>
    <t>세디필 노리도</t>
  </si>
  <si>
    <t>B304210</t>
  </si>
  <si>
    <t>B305560</t>
  </si>
  <si>
    <t>스파이더 아쿠아 아이부스터</t>
  </si>
  <si>
    <t>B305650</t>
  </si>
  <si>
    <t>신세라 플러스</t>
  </si>
  <si>
    <t>B305815</t>
  </si>
  <si>
    <t>아미플러스 PN 2%</t>
  </si>
  <si>
    <t>B306020</t>
  </si>
  <si>
    <t>아틀란티스 헤어</t>
  </si>
  <si>
    <t>B306070</t>
  </si>
  <si>
    <t>알리사 바디필러</t>
  </si>
  <si>
    <t>B310700</t>
  </si>
  <si>
    <t>알파 아쿠아리프트 모노그립 [YRN29-02-G]</t>
  </si>
  <si>
    <t>B310710</t>
  </si>
  <si>
    <t>알파 아쿠아리프트 모노그립 [YRN29-04-G]</t>
  </si>
  <si>
    <t>B309238</t>
  </si>
  <si>
    <t>액상하이랙스주 750IU</t>
  </si>
  <si>
    <t>B204260</t>
  </si>
  <si>
    <t>에소아 딥</t>
  </si>
  <si>
    <t>B204250</t>
  </si>
  <si>
    <t>에소아 울트라</t>
  </si>
  <si>
    <t>B306310</t>
  </si>
  <si>
    <t>C401625</t>
  </si>
  <si>
    <t>엑소원 세안밴드</t>
  </si>
  <si>
    <t>B204450</t>
  </si>
  <si>
    <t>엘라비에 리투오</t>
  </si>
  <si>
    <t>B204891</t>
  </si>
  <si>
    <t>와이벨로 딥</t>
  </si>
  <si>
    <t>B204890</t>
  </si>
  <si>
    <t>와이벨로 볼륨</t>
  </si>
  <si>
    <t>B307350</t>
  </si>
  <si>
    <t>울트라 화이트</t>
  </si>
  <si>
    <t>B307450</t>
  </si>
  <si>
    <t>워너필 하드</t>
  </si>
  <si>
    <t>C401660</t>
  </si>
  <si>
    <t>원필 거울</t>
  </si>
  <si>
    <t>A200608</t>
  </si>
  <si>
    <t>원필 딥 리도 (Tur)</t>
  </si>
  <si>
    <t>A200607</t>
  </si>
  <si>
    <t>원필 서브큐 리도 (Tur)</t>
  </si>
  <si>
    <t>C401650</t>
  </si>
  <si>
    <t>원필 세안밴드</t>
  </si>
  <si>
    <t>A200609</t>
  </si>
  <si>
    <t>원필 클래식 리도 (Tur)</t>
  </si>
  <si>
    <t>B101030</t>
  </si>
  <si>
    <t>웰빙톡100u</t>
  </si>
  <si>
    <t>B204901</t>
  </si>
  <si>
    <t>웰스필 딥</t>
  </si>
  <si>
    <t>B204902</t>
  </si>
  <si>
    <t>웰스필 파인</t>
  </si>
  <si>
    <t>B307461</t>
  </si>
  <si>
    <t>위고비 0.5mg</t>
  </si>
  <si>
    <t>B307465</t>
  </si>
  <si>
    <t>위고비 1.7mg</t>
  </si>
  <si>
    <t>B205040</t>
  </si>
  <si>
    <t>유스필 스킨모이스처 에센스</t>
  </si>
  <si>
    <t>B101215</t>
  </si>
  <si>
    <t>이니보200u</t>
  </si>
  <si>
    <t>B307420</t>
  </si>
  <si>
    <t>이브아이즈 프로 플러스</t>
  </si>
  <si>
    <t>B101220</t>
  </si>
  <si>
    <t>이브톡스100u</t>
  </si>
  <si>
    <t>B307425</t>
  </si>
  <si>
    <t>이브화이트</t>
  </si>
  <si>
    <t>B150315</t>
  </si>
  <si>
    <t>제이톡스100u</t>
  </si>
  <si>
    <t>B301630</t>
  </si>
  <si>
    <t>쥬베아이즈</t>
  </si>
  <si>
    <t>B309302</t>
  </si>
  <si>
    <t>지씨비타오주</t>
  </si>
  <si>
    <t>B309249</t>
  </si>
  <si>
    <t>진코발주</t>
  </si>
  <si>
    <t>B205670</t>
  </si>
  <si>
    <t>코레나 L</t>
  </si>
  <si>
    <t>B205673</t>
  </si>
  <si>
    <t>코레나 L (CE)</t>
  </si>
  <si>
    <t>B205671</t>
  </si>
  <si>
    <t>코레나 M</t>
  </si>
  <si>
    <t>B205674</t>
  </si>
  <si>
    <t>코레나 M (CE)</t>
  </si>
  <si>
    <t>B205672</t>
  </si>
  <si>
    <t>코레나 S</t>
  </si>
  <si>
    <t>B205675</t>
  </si>
  <si>
    <t>코레나 S (CE)</t>
  </si>
  <si>
    <t>A301410</t>
  </si>
  <si>
    <t>콜라원(EA)</t>
  </si>
  <si>
    <t>A301400</t>
  </si>
  <si>
    <t>콜라원(box)</t>
  </si>
  <si>
    <t>FBX037</t>
  </si>
  <si>
    <t>FBG065</t>
  </si>
  <si>
    <t>B205700</t>
  </si>
  <si>
    <t>콜레비아</t>
  </si>
  <si>
    <t>B307825</t>
  </si>
  <si>
    <t>큐어넥스 데일리케어 스킨부스터</t>
  </si>
  <si>
    <t>B307815</t>
  </si>
  <si>
    <t>큐어넥스 아이</t>
  </si>
  <si>
    <t>B307820</t>
  </si>
  <si>
    <t>큐어넥스 인텐스 글로우&amp;샤인</t>
  </si>
  <si>
    <t>B205660</t>
  </si>
  <si>
    <t>큐티필 파인 플러스</t>
  </si>
  <si>
    <t>B307909</t>
  </si>
  <si>
    <t>키아라 2.7ml</t>
  </si>
  <si>
    <t>B307908</t>
  </si>
  <si>
    <t>키아라 아우라</t>
  </si>
  <si>
    <t>B205940</t>
  </si>
  <si>
    <t>테소로 루즈</t>
  </si>
  <si>
    <t>B205950</t>
  </si>
  <si>
    <t>테소로 바디 60ml</t>
  </si>
  <si>
    <t>B205960</t>
  </si>
  <si>
    <t>테소로 바디 맥스 100ml</t>
  </si>
  <si>
    <t>B205970</t>
  </si>
  <si>
    <t>테소로 콜라겐</t>
  </si>
  <si>
    <t>C401885</t>
  </si>
  <si>
    <t>테오필 세안밴드</t>
  </si>
  <si>
    <t>A200700</t>
  </si>
  <si>
    <t>테오필 아이즈</t>
  </si>
  <si>
    <t>FBX041</t>
  </si>
  <si>
    <t>FBG022</t>
  </si>
  <si>
    <t>A200705</t>
  </si>
  <si>
    <t>테오필 페이스</t>
  </si>
  <si>
    <t>FBX027</t>
  </si>
  <si>
    <t>FBG014</t>
  </si>
  <si>
    <t>C401880</t>
  </si>
  <si>
    <t>테오필 포스트잇</t>
  </si>
  <si>
    <t>B206020</t>
  </si>
  <si>
    <t>폭시필</t>
  </si>
  <si>
    <t>B308090</t>
  </si>
  <si>
    <t>퓨리아이즈 PDRN 패치</t>
  </si>
  <si>
    <t>B308095</t>
  </si>
  <si>
    <t>퓨리콜 Rh</t>
  </si>
  <si>
    <t>B206290</t>
  </si>
  <si>
    <t>필노트 미디움</t>
  </si>
  <si>
    <t>B206300</t>
  </si>
  <si>
    <t>필노트 소프트</t>
  </si>
  <si>
    <t>B206280</t>
  </si>
  <si>
    <t>필노트 하드</t>
  </si>
  <si>
    <t>B308173</t>
  </si>
  <si>
    <t>필러 케놀라 21*50</t>
  </si>
  <si>
    <t>B308178</t>
  </si>
  <si>
    <t>필러 케놀라 23*30</t>
  </si>
  <si>
    <t>B308192</t>
  </si>
  <si>
    <t>필러 케놀라 27*50</t>
  </si>
  <si>
    <t>B308400</t>
  </si>
  <si>
    <t>한힐 NAD+ COMPLEX</t>
  </si>
  <si>
    <t>B309390</t>
  </si>
  <si>
    <t>휴온스 생리식염주사액 (20ml/50PE)</t>
  </si>
  <si>
    <t>B203710</t>
  </si>
  <si>
    <t>FBX079</t>
  </si>
  <si>
    <t>완박스 59x41x40</t>
  </si>
  <si>
    <t>FBG037</t>
  </si>
  <si>
    <t>A301070</t>
  </si>
  <si>
    <t>리포원 프리미엄</t>
  </si>
  <si>
    <t>FBX039</t>
  </si>
  <si>
    <t>완박스 45.5x39x37</t>
  </si>
  <si>
    <t>FBG077</t>
  </si>
  <si>
    <t>A301080</t>
  </si>
  <si>
    <t xml:space="preserve">리포원 브이라인 </t>
  </si>
  <si>
    <t>FBX049</t>
  </si>
  <si>
    <t>완박스 46x39x37</t>
  </si>
  <si>
    <t>FBG079</t>
  </si>
  <si>
    <t>보유 박스 정보.xlsx 기준 정규화</t>
  </si>
  <si>
    <t>박스코드</t>
  </si>
  <si>
    <t>박스명</t>
  </si>
  <si>
    <t>원본박스명</t>
  </si>
  <si>
    <t>외경가로(cm)</t>
  </si>
  <si>
    <t>외경세로(cm)</t>
  </si>
  <si>
    <t>외경높이(cm)</t>
  </si>
  <si>
    <t>내경가로(cm)</t>
  </si>
  <si>
    <t>내경세로(cm)</t>
  </si>
  <si>
    <t>내경높이(cm)</t>
  </si>
  <si>
    <t>박스중량(kg)</t>
  </si>
  <si>
    <t>최대허용중량(kg)</t>
  </si>
  <si>
    <t>active</t>
  </si>
  <si>
    <t>박스정렬우선순위</t>
  </si>
  <si>
    <t>BX001</t>
  </si>
  <si>
    <t>1호</t>
  </si>
  <si>
    <t>보유 박스 정보.xlsx</t>
  </si>
  <si>
    <t>BX002</t>
  </si>
  <si>
    <t>2호</t>
  </si>
  <si>
    <t>BX003</t>
  </si>
  <si>
    <t>34.5x25.5x10.5</t>
  </si>
  <si>
    <t>명칭없음</t>
  </si>
  <si>
    <t>BX004</t>
  </si>
  <si>
    <t>3호</t>
  </si>
  <si>
    <t>BX005</t>
  </si>
  <si>
    <t>4호</t>
  </si>
  <si>
    <t>BX006</t>
  </si>
  <si>
    <t>5호</t>
  </si>
  <si>
    <t>BX007</t>
  </si>
  <si>
    <t>6호</t>
  </si>
  <si>
    <t>BX008</t>
  </si>
  <si>
    <t>60x40x40</t>
  </si>
  <si>
    <t>BX009</t>
  </si>
  <si>
    <t>65x45x40</t>
  </si>
  <si>
    <t>BX010</t>
  </si>
  <si>
    <t>72x48x40</t>
  </si>
  <si>
    <t>패키지 상품 정보.xlsx 기준 정규화</t>
  </si>
  <si>
    <t>패키지입수량</t>
  </si>
  <si>
    <t>패키지가로(cm)</t>
  </si>
  <si>
    <t>패키지세로(cm)</t>
  </si>
  <si>
    <t>패키지높이(cm)</t>
  </si>
  <si>
    <t>패키지중량(kg)</t>
  </si>
  <si>
    <t>패키지해체정책</t>
  </si>
  <si>
    <t>엔진기본처리정책</t>
  </si>
  <si>
    <t>패키지BOM존재여부</t>
  </si>
  <si>
    <t>해체허용조건</t>
  </si>
  <si>
    <t>해체후계산단위</t>
  </si>
  <si>
    <t>잔량처리방식</t>
  </si>
  <si>
    <t>데이터검증상태</t>
  </si>
  <si>
    <t>검증메모</t>
  </si>
  <si>
    <t>잔량처리시만허용</t>
  </si>
  <si>
    <t>패키지 상품 정보.xlsx</t>
  </si>
  <si>
    <t>PACKAGE_AS_IS_FIRST</t>
  </si>
  <si>
    <t>NEED_AND_BOM_ONLY</t>
  </si>
  <si>
    <t>COMPONENT</t>
  </si>
  <si>
    <t>KEEP_PACKAGE_UNIT</t>
  </si>
  <si>
    <t>기본은 패키지 상태 그대로 계산. BOM 존재 + 정책 허용 + 필요 시에만 해체.</t>
  </si>
  <si>
    <t>A100110</t>
  </si>
  <si>
    <t>레드톡스100u</t>
  </si>
  <si>
    <t>A100120</t>
  </si>
  <si>
    <t>레드톡스200u</t>
  </si>
  <si>
    <t>A100210</t>
  </si>
  <si>
    <t>엑스톡스100u</t>
  </si>
  <si>
    <t>A100220</t>
  </si>
  <si>
    <t>엑스톡스200u</t>
  </si>
  <si>
    <t>원톡스100U</t>
  </si>
  <si>
    <t>B100710</t>
  </si>
  <si>
    <t>보툴렉스50u</t>
  </si>
  <si>
    <t>B100720</t>
  </si>
  <si>
    <t>보툴렉스100u</t>
  </si>
  <si>
    <t>B100725</t>
  </si>
  <si>
    <t>보툴렉스150u</t>
  </si>
  <si>
    <t>B100730</t>
  </si>
  <si>
    <t>보툴렉스200u</t>
  </si>
  <si>
    <t>B100740</t>
  </si>
  <si>
    <t>보툴렉스300u</t>
  </si>
  <si>
    <t>B100810</t>
  </si>
  <si>
    <t>비에녹스100u</t>
  </si>
  <si>
    <t>B100815</t>
  </si>
  <si>
    <t>비에녹스200u</t>
  </si>
  <si>
    <t>B100110</t>
  </si>
  <si>
    <t>B100130</t>
  </si>
  <si>
    <t>패키지 해체(BOM) 마스터 - 현재 원본 데이터 없음, 추후 확장용</t>
  </si>
  <si>
    <t>패키지상품코드</t>
  </si>
  <si>
    <t>패키지국문상품명</t>
  </si>
  <si>
    <t>구성품상품코드</t>
  </si>
  <si>
    <t>구성품국문상품명</t>
  </si>
  <si>
    <t>구성품수량</t>
  </si>
  <si>
    <t>해체적용조건</t>
  </si>
  <si>
    <t>현재 원본 파일에 BOM 데이터 없음. 해체 계산 필요 시 이 시트 보강 필요.</t>
  </si>
  <si>
    <t>완박스 정보.xlsx 기준 정규화</t>
  </si>
  <si>
    <t>완박스가로(cm)</t>
  </si>
  <si>
    <t>완박스세로(cm)</t>
  </si>
  <si>
    <t>완박스높이(cm)</t>
  </si>
  <si>
    <t>완박스중량(kg)</t>
  </si>
  <si>
    <t>우선순위</t>
  </si>
  <si>
    <t>완박스카톤코드</t>
  </si>
  <si>
    <t>엔진해석정책</t>
  </si>
  <si>
    <t>출고단위구분</t>
  </si>
  <si>
    <t>표준박스매핑여부</t>
  </si>
  <si>
    <t>표준박스코드</t>
  </si>
  <si>
    <t>B200350</t>
  </si>
  <si>
    <t>완박스 정보.xlsx</t>
  </si>
  <si>
    <t>FBX005</t>
  </si>
  <si>
    <t>OWN_CARTON</t>
  </si>
  <si>
    <t>FULLBOX_CARTON</t>
  </si>
  <si>
    <t>REMAINDER_TO_REPACK</t>
  </si>
  <si>
    <t>OK</t>
  </si>
  <si>
    <t>완박스를 표준박스로 매핑하지 않고 자체 출고 카톤으로 사용</t>
  </si>
  <si>
    <t>완박스 37x37x32</t>
  </si>
  <si>
    <t>FBG005</t>
  </si>
  <si>
    <t>B200240</t>
  </si>
  <si>
    <t>뉴라미스 딥 노리도 (수출용)</t>
  </si>
  <si>
    <t>B200220</t>
  </si>
  <si>
    <t>FBX006</t>
  </si>
  <si>
    <t>완박스 38x37x25.5</t>
  </si>
  <si>
    <t>FBG006</t>
  </si>
  <si>
    <t>B200340</t>
  </si>
  <si>
    <t>B200234</t>
  </si>
  <si>
    <t>뉴라미스 라이트 리도(수출용)</t>
  </si>
  <si>
    <t>B200230</t>
  </si>
  <si>
    <t>B200210</t>
  </si>
  <si>
    <t>B300820</t>
  </si>
  <si>
    <t>FBX067</t>
  </si>
  <si>
    <t>완박스 53x37x34</t>
  </si>
  <si>
    <t>FBG091</t>
  </si>
  <si>
    <t>B200620</t>
  </si>
  <si>
    <t>FBX088</t>
  </si>
  <si>
    <t>완박스 60x42x42</t>
  </si>
  <si>
    <t>FBG048</t>
  </si>
  <si>
    <t>B200610</t>
  </si>
  <si>
    <t>FBX075</t>
  </si>
  <si>
    <t>완박스 56x42x41</t>
  </si>
  <si>
    <t>FBG032</t>
  </si>
  <si>
    <t>B200630</t>
  </si>
  <si>
    <t>FBX087</t>
  </si>
  <si>
    <t>FBG047</t>
  </si>
  <si>
    <t>nan</t>
  </si>
  <si>
    <t>데네브 클래식 노리도(30)</t>
  </si>
  <si>
    <t>FBX007</t>
  </si>
  <si>
    <t>완박스 39x25x22</t>
  </si>
  <si>
    <t>FBG053</t>
  </si>
  <si>
    <t>데네브 클래식 노리도(100)</t>
  </si>
  <si>
    <t>FBX056</t>
  </si>
  <si>
    <t>완박스 48x40x38</t>
  </si>
  <si>
    <t>FBG026</t>
  </si>
  <si>
    <t>A200150</t>
  </si>
  <si>
    <t>드메이 #1</t>
  </si>
  <si>
    <t>A200145</t>
  </si>
  <si>
    <t>드메이 #2</t>
  </si>
  <si>
    <t>A200140</t>
  </si>
  <si>
    <t>드메이 #3</t>
  </si>
  <si>
    <t>A200135</t>
  </si>
  <si>
    <t>드메이 #4 슈퍼하드</t>
  </si>
  <si>
    <t>B301410</t>
  </si>
  <si>
    <t>FBX083</t>
  </si>
  <si>
    <t>FBG036</t>
  </si>
  <si>
    <t>B301420</t>
  </si>
  <si>
    <t>FBX082</t>
  </si>
  <si>
    <t>FBG034</t>
  </si>
  <si>
    <t>B201040</t>
  </si>
  <si>
    <t>레나1</t>
  </si>
  <si>
    <t>FBX016</t>
  </si>
  <si>
    <t>완박스 40x38.5x30.5</t>
  </si>
  <si>
    <t>FBG070</t>
  </si>
  <si>
    <t>B201030</t>
  </si>
  <si>
    <t>레나2</t>
  </si>
  <si>
    <t>B201020</t>
  </si>
  <si>
    <t>레나3</t>
  </si>
  <si>
    <t>B201010</t>
  </si>
  <si>
    <t>레나4</t>
  </si>
  <si>
    <t>FBX011</t>
  </si>
  <si>
    <t>FBG042</t>
  </si>
  <si>
    <t>B201320</t>
  </si>
  <si>
    <t>FBX084</t>
  </si>
  <si>
    <t>완박스 59x41x41</t>
  </si>
  <si>
    <t>FBG045</t>
  </si>
  <si>
    <t>B201310</t>
  </si>
  <si>
    <t>B201330</t>
  </si>
  <si>
    <t>B100410</t>
  </si>
  <si>
    <t>리엔톡스100u</t>
  </si>
  <si>
    <t>FBX059</t>
  </si>
  <si>
    <t>완박스 49x40x31</t>
  </si>
  <si>
    <t>FBG063</t>
  </si>
  <si>
    <t>B100420</t>
  </si>
  <si>
    <t>리엔톡스200u</t>
  </si>
  <si>
    <t>B201820</t>
  </si>
  <si>
    <t>FBX019</t>
  </si>
  <si>
    <t>완박스 41x32.5x40</t>
  </si>
  <si>
    <t>FBG010</t>
  </si>
  <si>
    <t>B201810</t>
  </si>
  <si>
    <t>B201910</t>
  </si>
  <si>
    <t>FBG060</t>
  </si>
  <si>
    <t>B201830</t>
  </si>
  <si>
    <t>B302430</t>
  </si>
  <si>
    <t>리쥬란 리커버리크림</t>
  </si>
  <si>
    <t>FBX021</t>
  </si>
  <si>
    <t>완박스 41x37x17</t>
  </si>
  <si>
    <t>FBG011</t>
  </si>
  <si>
    <t>B302135</t>
  </si>
  <si>
    <t>리쥬란 엘라스킨 (신)</t>
  </si>
  <si>
    <t>FBX062</t>
  </si>
  <si>
    <t>완박스 50x48x31</t>
  </si>
  <si>
    <t>FBG082</t>
  </si>
  <si>
    <t>B302421</t>
  </si>
  <si>
    <t>리쥬란 톤업마스크</t>
  </si>
  <si>
    <t>FBX001</t>
  </si>
  <si>
    <t>완박스 32x31x20</t>
  </si>
  <si>
    <t>FBG052</t>
  </si>
  <si>
    <t>B302420</t>
  </si>
  <si>
    <t>리쥬란 톤업마스크 (중문)</t>
  </si>
  <si>
    <t>B302020</t>
  </si>
  <si>
    <t>FBX078</t>
  </si>
  <si>
    <t>완박스 58.5x35x27</t>
  </si>
  <si>
    <t>FBG061</t>
  </si>
  <si>
    <t>리쥬란 힐러 2.7cc</t>
  </si>
  <si>
    <t>B302120</t>
  </si>
  <si>
    <t>FBX061</t>
  </si>
  <si>
    <t>완박스 50x48x30.5</t>
  </si>
  <si>
    <t>FBG081</t>
  </si>
  <si>
    <t>B302230</t>
  </si>
  <si>
    <t>리쥬란S</t>
  </si>
  <si>
    <t>FBX091</t>
  </si>
  <si>
    <t>완박스 63x43x27</t>
  </si>
  <si>
    <t>FBG035</t>
  </si>
  <si>
    <t>A300715</t>
  </si>
  <si>
    <t>리체스 B (R)</t>
  </si>
  <si>
    <t>FBX036</t>
  </si>
  <si>
    <t>FBG093</t>
  </si>
  <si>
    <t>A200470</t>
  </si>
  <si>
    <t>리체스 PN 리도</t>
  </si>
  <si>
    <t>FBX020</t>
  </si>
  <si>
    <t>완박스 41x34x39</t>
  </si>
  <si>
    <t>FBG072</t>
  </si>
  <si>
    <t>A200475</t>
  </si>
  <si>
    <t>리체스 PN플러스 리도</t>
  </si>
  <si>
    <t>A200437</t>
  </si>
  <si>
    <t>리체스 딥 리도(2sy C)</t>
  </si>
  <si>
    <t>FBX033</t>
  </si>
  <si>
    <t>FBG088</t>
  </si>
  <si>
    <t>A200460</t>
  </si>
  <si>
    <t>리체스 딥 리도(C)</t>
  </si>
  <si>
    <t>A200436</t>
  </si>
  <si>
    <t>리체스 소프트 리도(2sy C)</t>
  </si>
  <si>
    <t>FBX042</t>
  </si>
  <si>
    <t>FBG089</t>
  </si>
  <si>
    <t>A200450</t>
  </si>
  <si>
    <t>리체스 소프트 리도(C)</t>
  </si>
  <si>
    <t>A200433</t>
  </si>
  <si>
    <t>리체스 울트라 리도(2sy C)</t>
  </si>
  <si>
    <t>A200438</t>
  </si>
  <si>
    <t>리체스 울트라 리도(C)</t>
  </si>
  <si>
    <t>A200435</t>
  </si>
  <si>
    <t>리체스 임플란트 리도(2sy C)</t>
  </si>
  <si>
    <t>A200440</t>
  </si>
  <si>
    <t>리체스 임플란트 리도(C)</t>
  </si>
  <si>
    <t>A301020</t>
  </si>
  <si>
    <t>B302810</t>
  </si>
  <si>
    <t>리포랩 바디 (GMS)</t>
  </si>
  <si>
    <t>FBX040</t>
  </si>
  <si>
    <t>FBG078</t>
  </si>
  <si>
    <t>B302910</t>
  </si>
  <si>
    <t>리포랩 바디 (메디허브)</t>
  </si>
  <si>
    <t>FBX092</t>
  </si>
  <si>
    <t>완박스 72x46x17</t>
  </si>
  <si>
    <t>FBG087</t>
  </si>
  <si>
    <t>B302920</t>
  </si>
  <si>
    <t>리포랩 브이라인 (메디허브)</t>
  </si>
  <si>
    <t>FBX051</t>
  </si>
  <si>
    <t>완박스 47x39.5x28</t>
  </si>
  <si>
    <t>FBG080</t>
  </si>
  <si>
    <t>B202030</t>
  </si>
  <si>
    <t>FBX035</t>
  </si>
  <si>
    <t>FBG020</t>
  </si>
  <si>
    <t>B202020</t>
  </si>
  <si>
    <t>B202010</t>
  </si>
  <si>
    <t>리플렌젠 임플란트</t>
  </si>
  <si>
    <t>B202040</t>
  </si>
  <si>
    <t>B303110</t>
  </si>
  <si>
    <t>맥시필</t>
  </si>
  <si>
    <t>FBX089</t>
  </si>
  <si>
    <t>완박스 60x44x32</t>
  </si>
  <si>
    <t>FBG033</t>
  </si>
  <si>
    <t>메디톡신100u</t>
  </si>
  <si>
    <t>B100630</t>
  </si>
  <si>
    <t>메디톡신200u</t>
  </si>
  <si>
    <t>B203230</t>
  </si>
  <si>
    <t>FBX060</t>
  </si>
  <si>
    <t>완박스 50x44x32</t>
  </si>
  <si>
    <t>FBG094</t>
  </si>
  <si>
    <t>B203210</t>
  </si>
  <si>
    <t>B203220</t>
  </si>
  <si>
    <t>C401510</t>
  </si>
  <si>
    <t>브로셔</t>
  </si>
  <si>
    <t>MANUAL_REVIEW</t>
  </si>
  <si>
    <t>규격 또는 중량 누락으로 수동 보완 필요</t>
  </si>
  <si>
    <t>FBG001</t>
  </si>
  <si>
    <t>B305110</t>
  </si>
  <si>
    <t>FBX024</t>
  </si>
  <si>
    <t>완박스 43x34x28.5</t>
  </si>
  <si>
    <t>FBG074</t>
  </si>
  <si>
    <t>B100830</t>
  </si>
  <si>
    <t>셀라톡스</t>
  </si>
  <si>
    <t>FBX050</t>
  </si>
  <si>
    <t>완박스 46.5x39x37.5</t>
  </si>
  <si>
    <t>FBG092</t>
  </si>
  <si>
    <t>B203630</t>
  </si>
  <si>
    <t>FBX080</t>
  </si>
  <si>
    <t>FBG044</t>
  </si>
  <si>
    <t>B203640</t>
  </si>
  <si>
    <t>B203620</t>
  </si>
  <si>
    <t>B305310</t>
  </si>
  <si>
    <t>FBX081</t>
  </si>
  <si>
    <t>FBG085</t>
  </si>
  <si>
    <t>B203610</t>
  </si>
  <si>
    <t>B203782</t>
  </si>
  <si>
    <t>순수필 100</t>
  </si>
  <si>
    <t>FBX023</t>
  </si>
  <si>
    <t>완박스 41.5x43x32</t>
  </si>
  <si>
    <t>FBG012</t>
  </si>
  <si>
    <t>B203781</t>
  </si>
  <si>
    <t>순수필 300</t>
  </si>
  <si>
    <t>B203780</t>
  </si>
  <si>
    <t>순수필 500</t>
  </si>
  <si>
    <t>A301112</t>
  </si>
  <si>
    <t>엑소원(허가 BOX)</t>
  </si>
  <si>
    <t>FBX069</t>
  </si>
  <si>
    <t>완박스 55x34x18</t>
  </si>
  <si>
    <t>FBG054</t>
  </si>
  <si>
    <t>B204720</t>
  </si>
  <si>
    <t>엘라스티 D 플러스(1syr)</t>
  </si>
  <si>
    <t>FBX086</t>
  </si>
  <si>
    <t>완박스 60x38x41.5</t>
  </si>
  <si>
    <t>FBG046</t>
  </si>
  <si>
    <t>B204520</t>
  </si>
  <si>
    <t>엘라스티 D 플러스(2syr)</t>
  </si>
  <si>
    <t>FBX065</t>
  </si>
  <si>
    <t>완박스 52x42x42</t>
  </si>
  <si>
    <t>FBG030</t>
  </si>
  <si>
    <t>B204620</t>
  </si>
  <si>
    <t>엘라스티 D(2syr)</t>
  </si>
  <si>
    <t>B204730</t>
  </si>
  <si>
    <t>엘라스티 F 플러스(1syr)</t>
  </si>
  <si>
    <t>B204530</t>
  </si>
  <si>
    <t>엘라스티 F 플러스(2syr)</t>
  </si>
  <si>
    <t>B204630</t>
  </si>
  <si>
    <t>엘라스티 F(2syr)</t>
  </si>
  <si>
    <t>B204710</t>
  </si>
  <si>
    <t>엘라스티 G 플러스(1syr)</t>
  </si>
  <si>
    <t>B204510</t>
  </si>
  <si>
    <t>엘라스티 G 플러스(2syr)</t>
  </si>
  <si>
    <t>B204610</t>
  </si>
  <si>
    <t>엘라스티 G(2syr)</t>
  </si>
  <si>
    <t>B101010</t>
  </si>
  <si>
    <t>원더톡스100u</t>
  </si>
  <si>
    <t>FBX058</t>
  </si>
  <si>
    <t>완박스 49x18.5x17</t>
  </si>
  <si>
    <t>FBG028</t>
  </si>
  <si>
    <t>B101020</t>
  </si>
  <si>
    <t>원더톡스200u</t>
  </si>
  <si>
    <t>A200650</t>
  </si>
  <si>
    <t>원필 딥 리도 CE</t>
  </si>
  <si>
    <t>FBX029</t>
  </si>
  <si>
    <t>FBG016</t>
  </si>
  <si>
    <t>A200632</t>
  </si>
  <si>
    <t>원필 비타글로우 리도</t>
  </si>
  <si>
    <t>FBX017</t>
  </si>
  <si>
    <t>완박스 40x39x27.5</t>
  </si>
  <si>
    <t>FBG071</t>
  </si>
  <si>
    <t>A200640</t>
  </si>
  <si>
    <t>원필 서브큐 리도 CE</t>
  </si>
  <si>
    <t>A200660</t>
  </si>
  <si>
    <t>원필 클래식 리도 CE</t>
  </si>
  <si>
    <t>B101120</t>
  </si>
  <si>
    <t>이노톡스100u</t>
  </si>
  <si>
    <t>FBX004</t>
  </si>
  <si>
    <t>FBG004</t>
  </si>
  <si>
    <t>B101110</t>
  </si>
  <si>
    <t>이노톡스50u</t>
  </si>
  <si>
    <t>FBG066</t>
  </si>
  <si>
    <t>B205120</t>
  </si>
  <si>
    <t>FBX064</t>
  </si>
  <si>
    <t>완박스 51x49x40</t>
  </si>
  <si>
    <t>FBG038</t>
  </si>
  <si>
    <t>B205110</t>
  </si>
  <si>
    <t>B205130</t>
  </si>
  <si>
    <t>A301310</t>
  </si>
  <si>
    <t>제이드리포 바디</t>
  </si>
  <si>
    <t>FBX054</t>
  </si>
  <si>
    <t>FBG051</t>
  </si>
  <si>
    <t>A301320</t>
  </si>
  <si>
    <t>제이드리포 페이스</t>
  </si>
  <si>
    <t>FBX052</t>
  </si>
  <si>
    <t>완박스 47.5x38x34</t>
  </si>
  <si>
    <t>FBG064</t>
  </si>
  <si>
    <t>B205640</t>
  </si>
  <si>
    <t>채움1</t>
  </si>
  <si>
    <t>FBX072</t>
  </si>
  <si>
    <t>완박스 55x42x40.5</t>
  </si>
  <si>
    <t>FBG031</t>
  </si>
  <si>
    <t>B205630</t>
  </si>
  <si>
    <t>채움2</t>
  </si>
  <si>
    <t>B205620</t>
  </si>
  <si>
    <t>채움3</t>
  </si>
  <si>
    <t>B205610</t>
  </si>
  <si>
    <t>채움4</t>
  </si>
  <si>
    <t>B307710</t>
  </si>
  <si>
    <t>FBX031</t>
  </si>
  <si>
    <t>완박스 43.5x36.5x30.5</t>
  </si>
  <si>
    <t>FBG017</t>
  </si>
  <si>
    <t>B101510</t>
  </si>
  <si>
    <t>코어톡스100u</t>
  </si>
  <si>
    <t>FBX002</t>
  </si>
  <si>
    <t>FBG002</t>
  </si>
  <si>
    <t>콜라원(BOX)</t>
  </si>
  <si>
    <t>B307910</t>
  </si>
  <si>
    <t>FBX030</t>
  </si>
  <si>
    <t>완박스 43x41.5x37.5</t>
  </si>
  <si>
    <t>FBG076</t>
  </si>
  <si>
    <t>B205920</t>
  </si>
  <si>
    <t>FBX018</t>
  </si>
  <si>
    <t>완박스 41x31x40</t>
  </si>
  <si>
    <t>FBG009</t>
  </si>
  <si>
    <t>B205830</t>
  </si>
  <si>
    <t>B205910</t>
  </si>
  <si>
    <t>B205820</t>
  </si>
  <si>
    <t>B205930</t>
  </si>
  <si>
    <t>B205840</t>
  </si>
  <si>
    <t>A200680</t>
  </si>
  <si>
    <t>테오필 딥 리도</t>
  </si>
  <si>
    <t>A200670</t>
  </si>
  <si>
    <t>테오필 서브큐 리도</t>
  </si>
  <si>
    <t>A200690</t>
  </si>
  <si>
    <t>테오필 클래식 리도</t>
  </si>
  <si>
    <t>B206620</t>
  </si>
  <si>
    <t>하이알듀 미드 노리도 (수출용)</t>
  </si>
  <si>
    <t>FBX022</t>
  </si>
  <si>
    <t>완박스 41.5x38x18.5</t>
  </si>
  <si>
    <t>FBG073</t>
  </si>
  <si>
    <t>B206520</t>
  </si>
  <si>
    <t>하이알듀 미드 리도 (수출용)</t>
  </si>
  <si>
    <t>B206640</t>
  </si>
  <si>
    <t>하이알듀 샤인 노리도 (수출용)</t>
  </si>
  <si>
    <t>B206540</t>
  </si>
  <si>
    <t>하이알듀 샤인 리도 (수출용)</t>
  </si>
  <si>
    <t>B206610</t>
  </si>
  <si>
    <t>하이알듀 올 노리도 (수출용)</t>
  </si>
  <si>
    <t>B206410</t>
  </si>
  <si>
    <t>B206510</t>
  </si>
  <si>
    <t>하이알듀 올 리도 (수출용)</t>
  </si>
  <si>
    <t>B206630</t>
  </si>
  <si>
    <t>하이알듀 파인 노리도 (수출용)</t>
  </si>
  <si>
    <t>B206530</t>
  </si>
  <si>
    <t>하이알듀 파인 리도 (수출용)</t>
  </si>
  <si>
    <t>B101810</t>
  </si>
  <si>
    <t>휴톡스100u</t>
  </si>
  <si>
    <t>FBX057</t>
  </si>
  <si>
    <t>완박스 48.5x18.5x17</t>
  </si>
  <si>
    <t>FBG027</t>
  </si>
  <si>
    <t>B308610</t>
  </si>
  <si>
    <t>FBX085</t>
  </si>
  <si>
    <t>완박스 60x35x30.5</t>
  </si>
  <si>
    <t>FBG055</t>
  </si>
  <si>
    <t>B206920</t>
  </si>
  <si>
    <t>히아필리아 미담 딥 플러스</t>
  </si>
  <si>
    <t>FBX009</t>
  </si>
  <si>
    <t>완박스 39x36.5x24.5</t>
  </si>
  <si>
    <t>FBG007</t>
  </si>
  <si>
    <t>드메이 PLA</t>
  </si>
  <si>
    <t>A300340</t>
  </si>
  <si>
    <t>드메이 바디 60</t>
  </si>
  <si>
    <t>FBX008</t>
  </si>
  <si>
    <t>FBG067</t>
  </si>
  <si>
    <t>드메이 바디 100</t>
  </si>
  <si>
    <t>FBX025</t>
  </si>
  <si>
    <t>완박스 43x34x29</t>
  </si>
  <si>
    <t>FBG075</t>
  </si>
  <si>
    <t>fullboxes_master에서 파생된 완박스 출고 카톤 마스터</t>
  </si>
  <si>
    <t>카톤총중량(kg)</t>
  </si>
  <si>
    <t>연결SKU행수</t>
  </si>
  <si>
    <t>연결상품코드수</t>
  </si>
  <si>
    <t>원본시트</t>
  </si>
  <si>
    <t>비고</t>
  </si>
  <si>
    <t>fullboxes_master</t>
  </si>
  <si>
    <t>완박스는 자체 카톤 규격으로 출고 처리</t>
  </si>
  <si>
    <t>수동검토 필요 행</t>
  </si>
  <si>
    <t>97</t>
  </si>
  <si>
    <t>패킹 엔진 처리 순서(flow) 확정</t>
  </si>
  <si>
    <t>step_no</t>
  </si>
  <si>
    <t>phase</t>
  </si>
  <si>
    <t>입력/조건</t>
  </si>
  <si>
    <t>참조시트</t>
  </si>
  <si>
    <t>핵심 로직</t>
  </si>
  <si>
    <t>산출물</t>
  </si>
  <si>
    <t>중단/예외조건</t>
  </si>
  <si>
    <t>INPUT_NORMALIZE</t>
  </si>
  <si>
    <t>주문라인(product_code, qty)</t>
  </si>
  <si>
    <t>products_master</t>
  </si>
  <si>
    <t>상품코드/상품명 정규화 및 active 확인</t>
  </si>
  <si>
    <t>normalized_order_lines</t>
  </si>
  <si>
    <t>상품 미존재 또는 inactive</t>
  </si>
  <si>
    <t>입력 표준화</t>
  </si>
  <si>
    <t>TYPE_DETECT</t>
  </si>
  <si>
    <t>정규화된 주문라인</t>
  </si>
  <si>
    <t>products_master, packages_master</t>
  </si>
  <si>
    <t>상품 유형 판별: NORMAL / SPECIAL_300 / PACKAGE_SEALED</t>
  </si>
  <si>
    <t>typed_order_lines</t>
  </si>
  <si>
    <t>유형 판별 실패</t>
  </si>
  <si>
    <t>패키지 여부는 packages_master 기준</t>
  </si>
  <si>
    <t>MASTER_VALIDATE</t>
  </si>
  <si>
    <t>boxes_master, fullboxes_master, packages_master</t>
  </si>
  <si>
    <t>계산에 필요한 규격/중량/정책 존재 여부 확인</t>
  </si>
  <si>
    <t>validated_order_lines</t>
  </si>
  <si>
    <t>필수 규격/중량 누락</t>
  </si>
  <si>
    <t>누락 시 MANUAL_REVIEW</t>
  </si>
  <si>
    <t>FULLBOX_ALLOCATE</t>
  </si>
  <si>
    <t>fullboxes_master, fullbox_cartons_master</t>
  </si>
  <si>
    <t>완박스 가능 SKU는 완박스부터 우선 배정</t>
  </si>
  <si>
    <t>fullbox_allocations</t>
  </si>
  <si>
    <t>완박스 규격 누락</t>
  </si>
  <si>
    <t>완박스는 OWN_CARTON</t>
  </si>
  <si>
    <t>PACKAGE_POLICY_APPLY</t>
  </si>
  <si>
    <t>잔여 package sku</t>
  </si>
  <si>
    <t>packages_master, package_bom_master</t>
  </si>
  <si>
    <t>기본은 패키지 상태 그대로 계산. 해체는 BOM 존재 + 정책 허용 + 실제 필요 시만 허용</t>
  </si>
  <si>
    <t>package_allocations</t>
  </si>
  <si>
    <t>BOM 필요한데 부재</t>
  </si>
  <si>
    <t>기본 정책 PACKAGE_AS_IS_FIRST</t>
  </si>
  <si>
    <t>SPECIAL_POLICY_APPLY</t>
  </si>
  <si>
    <t>잔여 special sku</t>
  </si>
  <si>
    <t>products_master, rules_master</t>
  </si>
  <si>
    <t>특수군은 BX010(72x48x40)에 300개 우선 배정 시도</t>
  </si>
  <si>
    <t>special_allocations</t>
  </si>
  <si>
    <t>박스/중량 제약 불가</t>
  </si>
  <si>
    <t>ELASTY/CELLOZOME/REPLENGEN/RICHESSE_C/DEMEI</t>
  </si>
  <si>
    <t>NORMAL_PACKING</t>
  </si>
  <si>
    <t>잔여 normal sku</t>
  </si>
  <si>
    <t>boxes_master, products_master, rules_master</t>
  </si>
  <si>
    <t>박스 수 최소화 우선 + 같은 상품 우선 + 동률이면 큰 박스 우선</t>
  </si>
  <si>
    <t>normal_allocations</t>
  </si>
  <si>
    <t>적합 박스 없음</t>
  </si>
  <si>
    <t>내경 = 외경 - 1cm</t>
  </si>
  <si>
    <t>WEIGHT_CHECK</t>
  </si>
  <si>
    <t>모든 allocation</t>
  </si>
  <si>
    <t>rules_master</t>
  </si>
  <si>
    <t>30kg 초과 여부 확인 및 초과안 재배치</t>
  </si>
  <si>
    <t>weight_valid_allocations</t>
  </si>
  <si>
    <t>대체 배치 실패</t>
  </si>
  <si>
    <t>max 30kg</t>
  </si>
  <si>
    <t>SPACE_CHECK</t>
  </si>
  <si>
    <t>확정 allocation</t>
  </si>
  <si>
    <t>상단 유효공간 계산. 2cm 이상이면 제단 안내/가능높이 산출</t>
  </si>
  <si>
    <t>space_checked_allocations</t>
  </si>
  <si>
    <t>-</t>
  </si>
  <si>
    <t>trim notice 생성</t>
  </si>
  <si>
    <t>MERGE_RESULT</t>
  </si>
  <si>
    <t>fullbox+package+special+normal</t>
  </si>
  <si>
    <t>engine internal</t>
  </si>
  <si>
    <t>모든 allocation을 carton 기준으로 병합/정렬</t>
  </si>
  <si>
    <t>merged_cartons</t>
  </si>
  <si>
    <t>carton_seq 부여</t>
  </si>
  <si>
    <t>BUILD_PACKING_LIST</t>
  </si>
  <si>
    <t>output_schema</t>
  </si>
  <si>
    <t>템플릿 형식 패킹리스트 행 생성</t>
  </si>
  <si>
    <t>packing_list_rows</t>
  </si>
  <si>
    <t>필수 출력필드 누락</t>
  </si>
  <si>
    <t>출력 포맷 고정</t>
  </si>
  <si>
    <t>SUMMARY</t>
  </si>
  <si>
    <t>총 박스수/총수량/검토대상 요약 생성</t>
  </si>
  <si>
    <t>packing_list_summary</t>
  </si>
  <si>
    <t>최종 사용자 출력</t>
  </si>
  <si>
    <t>입력 JSON 스키마 확정</t>
  </si>
  <si>
    <t>json_path</t>
  </si>
  <si>
    <t>필드명(ko)</t>
  </si>
  <si>
    <t>level</t>
  </si>
  <si>
    <t>type</t>
  </si>
  <si>
    <t>required</t>
  </si>
  <si>
    <t>enum/example</t>
  </si>
  <si>
    <t>validation_rule</t>
  </si>
  <si>
    <t>설명</t>
  </si>
  <si>
    <t>$.request_version</t>
  </si>
  <si>
    <t>요청버전</t>
  </si>
  <si>
    <t>job</t>
  </si>
  <si>
    <t>text</t>
  </si>
  <si>
    <t>v1</t>
  </si>
  <si>
    <t>지원 스키마 버전과 일치</t>
  </si>
  <si>
    <t>요청 JSON 버전</t>
  </si>
  <si>
    <t>$.job_id</t>
  </si>
  <si>
    <t>작업ID</t>
  </si>
  <si>
    <t>PK-20260310-0001</t>
  </si>
  <si>
    <t>미입력 시 엔진 자동 생성</t>
  </si>
  <si>
    <t>요청 식별자</t>
  </si>
  <si>
    <t>$.packing_mode</t>
  </si>
  <si>
    <t>출고방법</t>
  </si>
  <si>
    <t>AUTO / REPACK / FULLBOX</t>
  </si>
  <si>
    <t>enum</t>
  </si>
  <si>
    <t>계산 모드. AUTO면 엔진이 완박스→재포장 순으로 판단</t>
  </si>
  <si>
    <t>$.packing_list_required</t>
  </si>
  <si>
    <t>패킹리스트필요</t>
  </si>
  <si>
    <t>boolean</t>
  </si>
  <si>
    <t>true / false</t>
  </si>
  <si>
    <t>bool</t>
  </si>
  <si>
    <t>출력 형식 제어</t>
  </si>
  <si>
    <t>$.output_language</t>
  </si>
  <si>
    <t>출력언어</t>
  </si>
  <si>
    <t>ko / en / ru</t>
  </si>
  <si>
    <t>미입력 시 ko</t>
  </si>
  <si>
    <t>안내 문구 언어</t>
  </si>
  <si>
    <t>$.order_lines</t>
  </si>
  <si>
    <t>주문라인목록</t>
  </si>
  <si>
    <t>array</t>
  </si>
  <si>
    <t>[...]</t>
  </si>
  <si>
    <t>최소 1행</t>
  </si>
  <si>
    <t>계산 대상 주문 라인 배열</t>
  </si>
  <si>
    <t>$.order_lines[].order_line_no</t>
  </si>
  <si>
    <t>주문행번호</t>
  </si>
  <si>
    <t>line</t>
  </si>
  <si>
    <t>number</t>
  </si>
  <si>
    <t>1</t>
  </si>
  <si>
    <t>양의 정수</t>
  </si>
  <si>
    <t>입력 순번 유지용</t>
  </si>
  <si>
    <t>$.order_lines[].product_code</t>
  </si>
  <si>
    <t>P000123</t>
  </si>
  <si>
    <t>product_code 또는 product_name 중 1개 이상 필수</t>
  </si>
  <si>
    <t>상품 식별값</t>
  </si>
  <si>
    <t>$.order_lines[].product_name</t>
  </si>
  <si>
    <t>상품명</t>
  </si>
  <si>
    <t>리체스 딥 리도(c)</t>
  </si>
  <si>
    <t>$.order_lines[].qty</t>
  </si>
  <si>
    <t>수량</t>
  </si>
  <si>
    <t>225</t>
  </si>
  <si>
    <t>0 초과 정수</t>
  </si>
  <si>
    <t>주문 수량</t>
  </si>
  <si>
    <t>$.options.allow_package_unseal</t>
  </si>
  <si>
    <t>패키지해체허용</t>
  </si>
  <si>
    <t>option</t>
  </si>
  <si>
    <t>false</t>
  </si>
  <si>
    <t>기본 false</t>
  </si>
  <si>
    <t>true 여도 BOM 존재 + 정책 허용 시만 해체 가능</t>
  </si>
  <si>
    <t>$.options.allow_manual_review</t>
  </si>
  <si>
    <t>수동검토허용</t>
  </si>
  <si>
    <t>true</t>
  </si>
  <si>
    <t>기본 true</t>
  </si>
  <si>
    <t>예외 발생 시 MANUAL_REVIEW 결과 반환 허용</t>
  </si>
  <si>
    <t>$.options.prefer_same_sku_carton</t>
  </si>
  <si>
    <t>같은상품우선</t>
  </si>
  <si>
    <t>동일 SKU 우선 패킹</t>
  </si>
  <si>
    <t>$.options.max_box_weight_kg</t>
  </si>
  <si>
    <t>최대박스중량</t>
  </si>
  <si>
    <t>30</t>
  </si>
  <si>
    <t>미입력 시 rules_master</t>
  </si>
  <si>
    <t>박스당 최대 허용 중량</t>
  </si>
  <si>
    <t>$.options.output_detail_level</t>
  </si>
  <si>
    <t>출력상세수준</t>
  </si>
  <si>
    <t>SUMMARY / FULL</t>
  </si>
  <si>
    <t>기본 FULL</t>
  </si>
  <si>
    <t>결과 JSON 상세 정도</t>
  </si>
  <si>
    <t>패킹리스트 출력 스키마 확정</t>
  </si>
  <si>
    <t>field_key</t>
  </si>
  <si>
    <t>source</t>
  </si>
  <si>
    <t>생성 규칙</t>
  </si>
  <si>
    <t>job_id</t>
  </si>
  <si>
    <t>engine runtime</t>
  </si>
  <si>
    <t>실행 단위별 고유값</t>
  </si>
  <si>
    <t>1회 계산 요청 식별자</t>
  </si>
  <si>
    <t>order_line_no</t>
  </si>
  <si>
    <t>input order</t>
  </si>
  <si>
    <t>입력 행 순번 유지</t>
  </si>
  <si>
    <t>원주문 라인 추적</t>
  </si>
  <si>
    <t>input_product_code</t>
  </si>
  <si>
    <t>입력상품코드</t>
  </si>
  <si>
    <t>원입력값</t>
  </si>
  <si>
    <t>주문 기준 상품코드</t>
  </si>
  <si>
    <t>input_product_name</t>
  </si>
  <si>
    <t>입력상품명</t>
  </si>
  <si>
    <t>주문 기준 상품명</t>
  </si>
  <si>
    <t>normalized_product_code</t>
  </si>
  <si>
    <t>정규화상품코드</t>
  </si>
  <si>
    <t>정규화 결과</t>
  </si>
  <si>
    <t>계산 기준 상품코드</t>
  </si>
  <si>
    <t>product_type</t>
  </si>
  <si>
    <t>상품유형</t>
  </si>
  <si>
    <t>products_master/packages_master</t>
  </si>
  <si>
    <t>NORMAL/SPECIAL_300/PACKAGE_SEALED/FULLBOX_CARTON</t>
  </si>
  <si>
    <t>계산 분기용</t>
  </si>
  <si>
    <t>carton_seq</t>
  </si>
  <si>
    <t>카톤순번</t>
  </si>
  <si>
    <t>carton</t>
  </si>
  <si>
    <t>최종 카톤 정렬 후 순번 부여</t>
  </si>
  <si>
    <t>출력용 박스 번호</t>
  </si>
  <si>
    <t>carton_type</t>
  </si>
  <si>
    <t>카톤유형</t>
  </si>
  <si>
    <t>STANDARD_BOX/FULLBOX_CARTON/PACKAGE_UNIT</t>
  </si>
  <si>
    <t>카톤 해석 유형</t>
  </si>
  <si>
    <t>carton_code</t>
  </si>
  <si>
    <t>카톤코드</t>
  </si>
  <si>
    <t>boxes_master/fullbox_cartons_master/packages_master</t>
  </si>
  <si>
    <t>참조 마스터 코드</t>
  </si>
  <si>
    <t>사용 카톤 식별자</t>
  </si>
  <si>
    <t>carton_name</t>
  </si>
  <si>
    <t>카톤명</t>
  </si>
  <si>
    <t>참조 이름</t>
  </si>
  <si>
    <t>사용 카톤 표시명</t>
  </si>
  <si>
    <t>outer_length_cm</t>
  </si>
  <si>
    <t>carton master</t>
  </si>
  <si>
    <t>선택 카톤 외경</t>
  </si>
  <si>
    <t>출력 규격</t>
  </si>
  <si>
    <t>outer_width_cm</t>
  </si>
  <si>
    <t>outer_height_cm</t>
  </si>
  <si>
    <t>packed_qty</t>
  </si>
  <si>
    <t>포장수량</t>
  </si>
  <si>
    <t>carton-item</t>
  </si>
  <si>
    <t>카톤별 실제 배정 수량</t>
  </si>
  <si>
    <t>카톤 내 총 수량</t>
  </si>
  <si>
    <t>gross_weight_kg</t>
  </si>
  <si>
    <t>총중량(kg)</t>
  </si>
  <si>
    <t>상품+카톤 중량</t>
  </si>
  <si>
    <t>30kg 검증 대상</t>
  </si>
  <si>
    <t>fullbox_applied_yn</t>
  </si>
  <si>
    <t>완박스적용여부</t>
  </si>
  <si>
    <t>Y/N</t>
  </si>
  <si>
    <t>완박스 우선 배정 여부</t>
  </si>
  <si>
    <t>package_kept_yn</t>
  </si>
  <si>
    <t>패키지유지여부</t>
  </si>
  <si>
    <t>packages_master</t>
  </si>
  <si>
    <t>패키지 해체 없이 유지되었는지</t>
  </si>
  <si>
    <t>special_rule_applied_yn</t>
  </si>
  <si>
    <t>특수규칙적용여부</t>
  </si>
  <si>
    <t>products_master/rules_master</t>
  </si>
  <si>
    <t>300개 우선 박스 규칙 적용 여부</t>
  </si>
  <si>
    <t>empty_top_space_cm</t>
  </si>
  <si>
    <t>상단유효공간(cm)</t>
  </si>
  <si>
    <t>카톤 상단 잔여공간</t>
  </si>
  <si>
    <t>제단 안내 기준</t>
  </si>
  <si>
    <t>trim_notice_yn</t>
  </si>
  <si>
    <t>제단안내여부</t>
  </si>
  <si>
    <t>2cm 이상이면 Y</t>
  </si>
  <si>
    <t>상단 제단 안내</t>
  </si>
  <si>
    <t>trim_possible_height_cm</t>
  </si>
  <si>
    <t>제단가능높이(cm)</t>
  </si>
  <si>
    <t>안전 제단 가능 높이</t>
  </si>
  <si>
    <t>안내용</t>
  </si>
  <si>
    <t>manual_review_yn</t>
  </si>
  <si>
    <t>수동검토여부</t>
  </si>
  <si>
    <t>예외/누락 시 Y</t>
  </si>
  <si>
    <t>작업자 검토 필요</t>
  </si>
  <si>
    <t>manual_review_reason</t>
  </si>
  <si>
    <t>수동검토사유</t>
  </si>
  <si>
    <t>예외 사유 기록</t>
  </si>
  <si>
    <t>누락/정책충돌/박스부재 등</t>
  </si>
  <si>
    <t>packing_note</t>
  </si>
  <si>
    <t>패킹메모</t>
  </si>
  <si>
    <t>사용자 안내 문구</t>
  </si>
  <si>
    <t>출력 템플릿 표기용</t>
  </si>
  <si>
    <t>출력 JSON 스키마 확정</t>
  </si>
  <si>
    <t>$.response_version</t>
  </si>
  <si>
    <t>응답버전</t>
  </si>
  <si>
    <t>고정</t>
  </si>
  <si>
    <t>응답 JSON 버전</t>
  </si>
  <si>
    <t>request echo</t>
  </si>
  <si>
    <t>$.engine_version</t>
  </si>
  <si>
    <t>엔진버전</t>
  </si>
  <si>
    <t>packing-engine-v1</t>
  </si>
  <si>
    <t>runtime</t>
  </si>
  <si>
    <t>엔진 배포 버전</t>
  </si>
  <si>
    <t>$.request_echo.packing_mode</t>
  </si>
  <si>
    <t>요청출고방법</t>
  </si>
  <si>
    <t>AUTO</t>
  </si>
  <si>
    <t>원요청 추적</t>
  </si>
  <si>
    <t>$.request_echo.packing_list_required</t>
  </si>
  <si>
    <t>요청패킹리스트필요</t>
  </si>
  <si>
    <t>$.summary.total_input_lines</t>
  </si>
  <si>
    <t>총입력행수</t>
  </si>
  <si>
    <t>summary</t>
  </si>
  <si>
    <t>3</t>
  </si>
  <si>
    <t>sum</t>
  </si>
  <si>
    <t>입력 라인 수</t>
  </si>
  <si>
    <t>$.summary.total_input_qty</t>
  </si>
  <si>
    <t>총입력수량</t>
  </si>
  <si>
    <t>325</t>
  </si>
  <si>
    <t>총 주문 수량</t>
  </si>
  <si>
    <t>$.summary.total_cartons</t>
  </si>
  <si>
    <t>총카톤수</t>
  </si>
  <si>
    <t>2</t>
  </si>
  <si>
    <t>count</t>
  </si>
  <si>
    <t>최종 출고 카톤 수</t>
  </si>
  <si>
    <t>$.summary.manual_review_yn</t>
  </si>
  <si>
    <t>예외 존재 여부</t>
  </si>
  <si>
    <t>$.cartons</t>
  </si>
  <si>
    <t>카톤목록</t>
  </si>
  <si>
    <t>0건 가능</t>
  </si>
  <si>
    <t>최종 출고 카톤 배열</t>
  </si>
  <si>
    <t>$.cartons[].carton_seq</t>
  </si>
  <si>
    <t>1부터 순차</t>
  </si>
  <si>
    <t>출력용 카톤 번호</t>
  </si>
  <si>
    <t>$.cartons[].carton_type</t>
  </si>
  <si>
    <t>STANDARD_BOX</t>
  </si>
  <si>
    <t>$.cartons[].carton_code</t>
  </si>
  <si>
    <t>마스터 참조</t>
  </si>
  <si>
    <t>카톤 식별 코드</t>
  </si>
  <si>
    <t>$.cartons[].carton_name</t>
  </si>
  <si>
    <t>72 x 48 x 40</t>
  </si>
  <si>
    <t>표시용 이름</t>
  </si>
  <si>
    <t>$.cartons[].outer_length_cm</t>
  </si>
  <si>
    <t>72</t>
  </si>
  <si>
    <t>카톤 외경</t>
  </si>
  <si>
    <t>$.cartons[].outer_width_cm</t>
  </si>
  <si>
    <t>48</t>
  </si>
  <si>
    <t>$.cartons[].outer_height_cm</t>
  </si>
  <si>
    <t>40</t>
  </si>
  <si>
    <t>$.cartons[].gross_weight_kg</t>
  </si>
  <si>
    <t>12.6</t>
  </si>
  <si>
    <t>30kg 검증 후 값</t>
  </si>
  <si>
    <t>$.cartons[].empty_top_space_cm</t>
  </si>
  <si>
    <t>3.0</t>
  </si>
  <si>
    <t>상단 잔여공간</t>
  </si>
  <si>
    <t>$.cartons[].trim_notice_yn</t>
  </si>
  <si>
    <t>제단 안내 플래그</t>
  </si>
  <si>
    <t>$.cartons[].trim_possible_height_cm</t>
  </si>
  <si>
    <t>37</t>
  </si>
  <si>
    <t>$.cartons[].items</t>
  </si>
  <si>
    <t>카톤내상품목록</t>
  </si>
  <si>
    <t>카톤 내 배정 라인</t>
  </si>
  <si>
    <t>$.cartons[].items[].order_line_no</t>
  </si>
  <si>
    <t>input echo</t>
  </si>
  <si>
    <t>원주문 라인 연결</t>
  </si>
  <si>
    <t>$.cartons[].items[].normalized_product_code</t>
  </si>
  <si>
    <t>$.cartons[].items[].product_name</t>
  </si>
  <si>
    <t>표시용 상품명</t>
  </si>
  <si>
    <t>$.cartons[].items[].product_type</t>
  </si>
  <si>
    <t>SPECIAL_300</t>
  </si>
  <si>
    <t>typed line</t>
  </si>
  <si>
    <t>분기 기준</t>
  </si>
  <si>
    <t>$.cartons[].items[].packed_qty</t>
  </si>
  <si>
    <t>배정수량</t>
  </si>
  <si>
    <t>해당 카톤 내 수량</t>
  </si>
  <si>
    <t>$.cartons[].items[].fullbox_applied_yn</t>
  </si>
  <si>
    <t>$.cartons[].items[].package_kept_yn</t>
  </si>
  <si>
    <t>패키지 유지 여부</t>
  </si>
  <si>
    <t>$.cartons[].items[].special_rule_applied_yn</t>
  </si>
  <si>
    <t>300개 우선 배정 규칙 여부</t>
  </si>
  <si>
    <t>$.manual_review_items</t>
  </si>
  <si>
    <t>수동검토목록</t>
  </si>
  <si>
    <t>없으면 빈 배열</t>
  </si>
  <si>
    <t>예외/누락 라인 목록</t>
  </si>
  <si>
    <t>$.manual_review_items[].order_line_no</t>
  </si>
  <si>
    <t>manual</t>
  </si>
  <si>
    <t>검토 대상 라인</t>
  </si>
  <si>
    <t>$.manual_review_items[].reason</t>
  </si>
  <si>
    <t>검토사유</t>
  </si>
  <si>
    <t>규격 누락</t>
  </si>
  <si>
    <t>수동 검토 사유</t>
  </si>
  <si>
    <t>$.manual_review_items[].action</t>
  </si>
  <si>
    <t>권장조치</t>
  </si>
  <si>
    <t>마스터 보완</t>
  </si>
  <si>
    <t>작업자 후속 조치</t>
  </si>
  <si>
    <t>$.packing_notes</t>
  </si>
  <si>
    <t>패킹메모목록</t>
  </si>
  <si>
    <t>입력/출력 JSON 예시</t>
  </si>
  <si>
    <t>request_example</t>
  </si>
  <si>
    <t>response_example</t>
  </si>
  <si>
    <t>{
  "request_version": "v1",
  "job_id": "PK-20260310-0001",
  "packing_mode": "REPACK",
  "packing_list_required": false,
  "output_language": "ko",
  "order_lines": [
    {
      "order_line_no": 1,
      "product_name": "비에녹스 200u",
      "qty": 75
    },
    {
      "order_line_no": 2,
      "product_name": "리체스 딥 리도(c)",
      "qty": 225
    },
    {
      "order_line_no": 3,
      "product_name": "엘라스티 D 리도",
      "qty": 25
    }
  ],
  "options": {
    "allow_package_unseal": false,
    "allow_manual_review": true,
    "prefer_same_sku_carton": true,
    "max_box_weight_kg": 30,
    "output_detail_level": "FULL"
  }
}</t>
  </si>
  <si>
    <t>{
  "response_version": "v1",
  "job_id": "PK-20260310-0001",
  "engine_version": "packing-engine-v1",
  "request_echo": {
    "packing_mode": "REPACK",
    "packing_list_required": false
  },
  "summary": {
    "total_input_lines": 3,
    "total_input_qty": 325,
    "total_cartons": 2,
    "manual_review_yn": "N"
  },
  "cartons": [
    {
      "carton_seq": 1,
      "carton_type": "STANDARD_BOX",
      "carton_code": "BX010",
      "carton_name": "72 x 48 x 40",
      "outer_length_cm": 72,
      "outer_width_cm": 48,
      "outer_height_cm": 40,
      "gross_weight_kg": 12.6,
      "empty_top_space_cm": 3.0,
      "trim_notice_yn": "Y",
      "trim_possible_height_cm": 37,
      "items": [
        {
          "order_line_no": 2,
          "normalized_product_code": "AUTO_MATCH",
          "product_name": "리체스 딥 리도(c)",
          "product_type": "SPECIAL_300",
          "packed_qty": 225,
          "fullbox_applied_yn": "N",
          "package_kept_yn": "N",
          "special_rule_applied_yn": "Y"
        },
        {
          "order_line_no": 3,
          "normalized_product_code": "AUTO_MATCH",
          "product_name": "엘라스티 D 리도",
          "product_type": "SPECIAL_300",
          "packed_qty": 25,
          "fullbox_applied_yn": "N",
          "package_kept_yn": "N",
          "special_rule_applied_yn": "Y"
        }
      ]
    },
    {
      "carton_seq": 2,
      "carton_type": "STANDARD_BOX",
      "carton_code": "BX005",
      "carton_name": "40 x 30 x 25",
      "outer_length_cm": 40,
      "outer_width_cm": 30,
      "outer_height_cm": 25,
      "gross_weight_kg": 3.2,
      "empty_top_space_cm": 1.0,
      "trim_notice_yn": "N",
      "trim_possible_height_cm": null,
      "items": [
        {
          "order_line_no": 1,
          "normalized_product_code": "AUTO_MATCH",
          "product_name": "비에녹스 200u",
          "product_type": "NORMAL",
          "packed_qty": 75,
          "fullbox_applied_yn": "N",
          "package_kept_yn": "N",
          "special_rule_applied_yn": "N"
        }
      ]
    }
  ],
  "manual_review_items": [],
  "packing_notes": [
    "상단 유효공간 2cm 이상인 카톤은 제단 안내를 표시한다."
  ]
}</t>
  </si>
  <si>
    <t>패킹 엔진 규칙 마스터</t>
  </si>
  <si>
    <t>rule_key</t>
  </si>
  <si>
    <t>rule_value</t>
  </si>
  <si>
    <t>rule_type</t>
  </si>
  <si>
    <t>PACK_OBJECTIVE_PRIMARY</t>
  </si>
  <si>
    <t>MIN_BOX_COUNT</t>
  </si>
  <si>
    <t>박스 수량 최소화가 최우선</t>
  </si>
  <si>
    <t>사용자합의</t>
  </si>
  <si>
    <t>PACK_SAME_PRODUCT_FIRST</t>
  </si>
  <si>
    <t>같은 상품 우선 패킹</t>
  </si>
  <si>
    <t>NORMAL_BOX_TIEBREAK</t>
  </si>
  <si>
    <t>LARGE_BOX_FIRST</t>
  </si>
  <si>
    <t>일반 상품은 동일 박스 수량이면 큰 박스를 먼저 사용</t>
  </si>
  <si>
    <t>SPECIAL_FAMILIES</t>
  </si>
  <si>
    <t>ELASTY|CELLOZOME|REPLENGEN|RICHESSE_C|DEMEI</t>
  </si>
  <si>
    <t>특수 상품군 코드</t>
  </si>
  <si>
    <t>products_master.특수상품군</t>
  </si>
  <si>
    <t>SPECIAL_PRIORITY_BOX_CODE</t>
  </si>
  <si>
    <t>특수 상품군 우선 박스코드(72x48x40)</t>
  </si>
  <si>
    <t>SPECIAL_PRIORITY_UNITS</t>
  </si>
  <si>
    <t>특수 상품군 우선 배정 수량</t>
  </si>
  <si>
    <t>BOX_INNER_MARGIN_CM</t>
  </si>
  <si>
    <t>계산용 내경 = 외경 - 1cm</t>
  </si>
  <si>
    <t>MAX_BOX_WEIGHT_KG</t>
  </si>
  <si>
    <t>30kg 초과 금지</t>
  </si>
  <si>
    <t>PACKAGE_AUTO_DETECT</t>
  </si>
  <si>
    <t>패키지 상품 자동 판별 기준 시트</t>
  </si>
  <si>
    <t>TOP_EMPTY_SPACE_NOTICE_CM</t>
  </si>
  <si>
    <t>상단 유효공간 2cm 이상이면 안내</t>
  </si>
  <si>
    <t>OUTPUT_FORMAT</t>
  </si>
  <si>
    <t>PACKING_LIST_TEMPLATE</t>
  </si>
  <si>
    <t>패킹리스트는 템플릿 형식 기준 출력</t>
  </si>
  <si>
    <t>FULLBOX_INTERPRETATION</t>
  </si>
  <si>
    <t>완박스는 표준 박스로 매핑하지 않고 자체 출고 카톤으로 인정</t>
  </si>
  <si>
    <t>이번확정</t>
  </si>
  <si>
    <t>FULLBOX_STANDARD_BOX_MAPPING</t>
  </si>
  <si>
    <t>DISABLED</t>
  </si>
  <si>
    <t>완박스 -&gt; boxes_master 직접 매핑 비활성화</t>
  </si>
  <si>
    <t>FULLBOX_SEQUENCE</t>
  </si>
  <si>
    <t>FULLBOX_FIRST_THEN_REPACK_REMAINDER</t>
  </si>
  <si>
    <t>완박스 출고를 먼저 배정하고 잔량만 재포장</t>
  </si>
  <si>
    <t>FULLBOX_CARTON_SOURCE</t>
  </si>
  <si>
    <t>완박스 카톤 규격 원본 시트</t>
  </si>
  <si>
    <t>FULLBOX_MISSING_DIM_ACTION</t>
  </si>
  <si>
    <t>완박스 규격/중량 누락 행은 수동 검토 대상으로 분리</t>
  </si>
  <si>
    <t>PACKAGE_INTERPRETATION</t>
  </si>
  <si>
    <t>패키지 상품은 기본적으로 해체하지 않고 패키지 상태 그대로 계산</t>
  </si>
  <si>
    <t>PACKAGE_REPACK_UNIT</t>
  </si>
  <si>
    <t>PACKAGE_UNIT</t>
  </si>
  <si>
    <t>패키지 재포장은 개별 구성품이 아니라 패키지 단위 기준으로 계산</t>
  </si>
  <si>
    <t>PACKAGE_UNPACK_DEFAULT</t>
  </si>
  <si>
    <t>DISALLOW</t>
  </si>
  <si>
    <t>패키지 해체는 기본 비허용</t>
  </si>
  <si>
    <t>PACKAGE_UNPACK_ALLOWED_WHEN</t>
  </si>
  <si>
    <t>NEED_AND_BOM_EXISTS_AND_POLICY_ALLOWS</t>
  </si>
  <si>
    <t>BOM 존재 + 패키지해체정책 허용 + 실제 필요 시에만 해체</t>
  </si>
  <si>
    <t>PACKAGE_BOM_SOURCE</t>
  </si>
  <si>
    <t>package_bom_master</t>
  </si>
  <si>
    <t>패키지 해체 계산에 필요한 구성품(BOM) 기준 시트</t>
  </si>
  <si>
    <t>PACKAGE_NO_BOM_ACTION</t>
  </si>
  <si>
    <t>KEEP_SEALED_OR_MANUAL_REVIEW</t>
  </si>
  <si>
    <t>BOM이 없으면 패키지 상태 유지. 해체가 꼭 필요하면 수동 검토</t>
  </si>
  <si>
    <t>ENGINE_SEQUENCE_VERSION</t>
  </si>
  <si>
    <t>현재 확정된 엔진 처리 순서 버전</t>
  </si>
  <si>
    <t>OUTPUT_SCHEMA_VERSION</t>
  </si>
  <si>
    <t>현재 확정된 패킹리스트 출력 스키마 버전</t>
  </si>
  <si>
    <t>PACKING_MODE_FULLBOX</t>
  </si>
  <si>
    <t>FULLBOX</t>
  </si>
  <si>
    <t>완박스 포장 코드</t>
  </si>
  <si>
    <t>PACKING_MODE_REPACK</t>
  </si>
  <si>
    <t>REPACK</t>
  </si>
  <si>
    <t>재포장 코드</t>
  </si>
  <si>
    <t>FULLBOX_MIX_ENABLE</t>
  </si>
  <si>
    <t>완박스 잔량 혼합 허용</t>
  </si>
  <si>
    <t>FULLBOX_MIX_GROUP_FIRST</t>
  </si>
  <si>
    <t>동일 혼합그룹 잔량을 우선 합포</t>
  </si>
  <si>
    <t>FULLBOX_MIX_TOL_LENGTH_CM</t>
  </si>
  <si>
    <t>완박스 혼합 허용 가로 오차(cm)</t>
  </si>
  <si>
    <t>FULLBOX_MIX_TOL_WIDTH_CM</t>
  </si>
  <si>
    <t>완박스 혼합 허용 세로 오차(cm)</t>
  </si>
  <si>
    <t>FULLBOX_MIX_TOL_HEIGHT_CM</t>
  </si>
  <si>
    <t>완박스 혼합 허용 높이 오차(cm)</t>
  </si>
  <si>
    <t>FULLBOX_MIX_TOL_WEIGHT_KG</t>
  </si>
  <si>
    <t>완박스 혼합 허용 개당중량 오차(kg)</t>
  </si>
  <si>
    <t>FULLBOX_REMAINDER_TO_REPACK</t>
  </si>
  <si>
    <t>혼합 후 남는 잔량은 재포장으로 처리</t>
  </si>
  <si>
    <t>MATCH_FAIL_POLICY</t>
  </si>
  <si>
    <t>MATCH_FAILED</t>
  </si>
  <si>
    <t>매칭 실패 시 수동검토 없이 실패 처리</t>
  </si>
  <si>
    <t>PRODUCT_NOT_FOUND_POLICY</t>
  </si>
  <si>
    <t>FAIL</t>
  </si>
  <si>
    <t>상품이 마스터에 없으면 FAIL 처리</t>
  </si>
  <si>
    <t>BOX_MAX_WEIGHT_KG</t>
  </si>
  <si>
    <t>최대 박스 중량(kg)</t>
  </si>
  <si>
    <t>계산 엔진 관점 점검 결과</t>
  </si>
  <si>
    <t>시트명</t>
  </si>
  <si>
    <t>현재상태</t>
  </si>
  <si>
    <t>엔진 관점 갭</t>
  </si>
  <si>
    <t>권장 조치</t>
  </si>
  <si>
    <t>HIGH</t>
  </si>
  <si>
    <t>대체로 양호</t>
  </si>
  <si>
    <t>별칭/정규화명 없음. 그러나 패킹정책코드와 특수우선 컬럼은 이번 검토본에 추가함</t>
  </si>
  <si>
    <t>향후 alias_names / product_name_norm이 필요하면 별도 확장</t>
  </si>
  <si>
    <t>상품 462개</t>
  </si>
  <si>
    <t>boxes_master</t>
  </si>
  <si>
    <t>양호</t>
  </si>
  <si>
    <t>엔진용 우선순위 컬럼이 없었음</t>
  </si>
  <si>
    <t>이번 검토본에 박스정렬우선순위 추가</t>
  </si>
  <si>
    <t>박스 10종</t>
  </si>
  <si>
    <t>부분적 준비</t>
  </si>
  <si>
    <t>표준 박스코드(box_id)가 없고, 현재 치수도 boxes_master와 직접 매핑되지 않음</t>
  </si>
  <si>
    <t>완박스 자체 규격인지 표준 박스 사용인지 정책 확정 필요</t>
  </si>
  <si>
    <t>완박스 178개</t>
  </si>
  <si>
    <t>MEDIUM</t>
  </si>
  <si>
    <t>현재는 패키지 SKU 식별용으로 충분하나, 구성품 분해 계산이 필요하면 BOM 구조가 추가로 필요</t>
  </si>
  <si>
    <t>패키지를 원자 SKU로 볼지 구성품으로 풀지 정책 확정</t>
  </si>
  <si>
    <t>패키지 18개</t>
  </si>
  <si>
    <t>README</t>
  </si>
  <si>
    <t>기본 안내 있음</t>
  </si>
  <si>
    <t>엔진 버전 이력과 스키마 정의가 없음</t>
  </si>
  <si>
    <t>rules_master / engine_gap_review를 기준 문서로 사용</t>
  </si>
  <si>
    <t>정책 확정</t>
  </si>
  <si>
    <t>표준 박스와 직접 매핑 불가</t>
  </si>
  <si>
    <t>완박스를 OWN_CARTON으로 처리하고 잔량만 재포장</t>
  </si>
  <si>
    <t>고유 완박스카톤 92종 / 수동검토 1행</t>
  </si>
  <si>
    <t>이번 확정으로 보완</t>
  </si>
  <si>
    <t>패키지 상태 우선/해체 조건/BOM 존재 여부가 명시되지 않았음</t>
  </si>
  <si>
    <t>이번 검토본에 엔진정책 컬럼 추가, 기본은 PACKAGE_AS_IS_FIRST로 고정</t>
  </si>
  <si>
    <t>신규 템플릿</t>
  </si>
  <si>
    <t>현재 원본에는 패키지 구성품(BOM) 데이터가 없음</t>
  </si>
  <si>
    <t>해체 계산이 필요할 때만 이 시트에 패키지별 구성품 코드를 추가</t>
  </si>
  <si>
    <t>현재 데이터 0건</t>
  </si>
  <si>
    <t>engine_flow/output_schema</t>
  </si>
  <si>
    <t>계산 순서와 출력 필드가 문서화되어 있지 않았음</t>
  </si>
  <si>
    <t>engine_flow, output_schema 시트 추가로 입력→계산→출력 구조 고정</t>
  </si>
  <si>
    <t>구현 기준 시트</t>
  </si>
  <si>
    <t>input_json_schema/output_json_schema</t>
  </si>
  <si>
    <t>요청/응답 JSON 구조가 문서화되어 있지 않았음</t>
  </si>
  <si>
    <t>input_json_schema, output_json_schema, json_examples 시트 추가로 API 계약 고정</t>
  </si>
  <si>
    <t>구현/테스트 기준 시트</t>
  </si>
  <si>
    <t>fullboxes_master/products_master/rules_master</t>
  </si>
  <si>
    <t>완박스 잔량 혼합 기준과 허용오차 정책이 문서/마스터에 반영되지 않았음</t>
  </si>
  <si>
    <t>혼합완박스허용여부, 완박스혼합그룹, 허용오차 규칙을 시트에 반영</t>
  </si>
  <si>
    <t>FULLBOX 혼합정책 반영</t>
  </si>
  <si>
    <t>Y</t>
    <phoneticPr fontId="4" type="noConversion"/>
  </si>
  <si>
    <r>
      <rPr>
        <sz val="11"/>
        <color rgb="FF000000"/>
        <rFont val="맑은 고딕"/>
        <family val="3"/>
        <charset val="129"/>
      </rPr>
      <t>나보타</t>
    </r>
    <r>
      <rPr>
        <sz val="11"/>
        <color rgb="FF000000"/>
        <rFont val="Calibri"/>
        <family val="2"/>
      </rPr>
      <t xml:space="preserve"> 100u</t>
    </r>
    <phoneticPr fontId="4" type="noConversion"/>
  </si>
  <si>
    <r>
      <rPr>
        <sz val="11"/>
        <color rgb="FF000000"/>
        <rFont val="맑은 고딕"/>
        <family val="3"/>
        <charset val="129"/>
      </rPr>
      <t xml:space="preserve">원톡스 </t>
    </r>
    <r>
      <rPr>
        <sz val="11"/>
        <color rgb="FF000000"/>
        <rFont val="Calibri"/>
        <family val="2"/>
      </rPr>
      <t>100U</t>
    </r>
    <phoneticPr fontId="4" type="noConversion"/>
  </si>
  <si>
    <r>
      <rPr>
        <sz val="11"/>
        <color rgb="FF000000"/>
        <rFont val="맑은 고딕"/>
        <family val="2"/>
        <charset val="129"/>
      </rPr>
      <t>원톡스 1</t>
    </r>
    <r>
      <rPr>
        <sz val="11"/>
        <color rgb="FF000000"/>
        <rFont val="Calibri"/>
        <family val="2"/>
      </rPr>
      <t>00U</t>
    </r>
    <phoneticPr fontId="4" type="noConversion"/>
  </si>
  <si>
    <t>엘라스티 D 플러스(1syr)</t>
    <phoneticPr fontId="11" type="noConversion"/>
  </si>
  <si>
    <r>
      <t>레드톡스</t>
    </r>
    <r>
      <rPr>
        <sz val="11"/>
        <color rgb="FF000000"/>
        <rFont val="돋움"/>
        <family val="2"/>
        <charset val="129"/>
      </rPr>
      <t xml:space="preserve"> 100u</t>
    </r>
    <phoneticPr fontId="4" type="noConversion"/>
  </si>
  <si>
    <t>레드톡스 200u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</si>
</sst>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###"/>
  </numFmts>
  <fonts count="1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sz val="8"/>
      <name val="Calibri"/>
      <family val="3"/>
      <charset val="129"/>
      <scheme val="minor"/>
    </font>
    <font>
      <sz val="11"/>
      <color rgb="FF000000"/>
      <name val="Calibri"/>
      <family val="2"/>
    </font>
    <font>
      <sz val="11"/>
      <color rgb="FF000000"/>
      <name val="맑은 고딕"/>
      <family val="3"/>
      <charset val="129"/>
    </font>
    <font>
      <sz val="11"/>
      <color rgb="FF000000"/>
      <name val="Calibri"/>
      <family val="3"/>
      <charset val="129"/>
    </font>
    <font>
      <sz val="11"/>
      <color rgb="FF000000"/>
      <name val="맑은 고딕"/>
      <family val="2"/>
      <charset val="129"/>
    </font>
    <font>
      <sz val="11"/>
      <color rgb="FF000000"/>
      <name val="Calibri"/>
      <family val="2"/>
      <charset val="129"/>
    </font>
    <font>
      <sz val="11"/>
      <color theme="1"/>
      <name val="Calibri"/>
      <family val="3"/>
      <charset val="129"/>
      <scheme val="minor"/>
    </font>
    <font>
      <sz val="8"/>
      <name val="맑은 고딕"/>
      <family val="3"/>
      <charset val="129"/>
    </font>
    <font>
      <sz val="11"/>
      <color rgb="FF000000"/>
      <name val="돋움"/>
      <family val="2"/>
      <charset val="129"/>
    </font>
  </fonts>
  <fills count="6">
    <fill>
      <patternFill patternType="none"/>
    </fill>
    <fill>
      <patternFill patternType="gray125"/>
    </fill>
    <fill>
      <patternFill patternType="solid"/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FFFFFF"/>
      </patternFill>
    </fill>
  </fills>
  <borders count="11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/>
      <bottom/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</borders>
  <cellStyleXfs count="2">
    <xf numFmtId="0" fontId="0" fillId="2" borderId="0"/>
    <xf numFmtId="0" fontId="10" fillId="0" borderId="0">
      <alignment vertical="center"/>
    </xf>
  </cellStyleXfs>
  <cellXfs count="39">
    <xf numFmtId="0" fontId="0" fillId="0" borderId="0" xfId="0" applyFill="1"/>
    <xf numFmtId="0" fontId="0" fillId="0" borderId="0" xfId="0" applyFill="1"/>
    <xf numFmtId="0" fontId="0" fillId="2" borderId="0" xfId="0"/>
    <xf numFmtId="0" fontId="1" fillId="3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176" fontId="3" fillId="5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" fontId="3" fillId="5" borderId="1" xfId="0" applyNumberFormat="1" applyFont="1" applyFill="1" applyBorder="1" applyAlignment="1">
      <alignment horizontal="center" vertical="center"/>
    </xf>
    <xf numFmtId="0" fontId="3" fillId="0" borderId="0" xfId="0" applyFont="1" applyFill="1" applyAlignment="1">
      <alignment horizontal="left" vertical="center" wrapText="1"/>
    </xf>
    <xf numFmtId="0" fontId="0" fillId="0" borderId="0" xfId="0" applyFill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1" fontId="3" fillId="5" borderId="1" xfId="0" applyNumberFormat="1" applyFont="1" applyFill="1" applyBorder="1" applyAlignment="1">
      <alignment horizontal="center" vertical="center" wrapText="1"/>
    </xf>
    <xf numFmtId="176" fontId="3" fillId="5" borderId="1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 wrapText="1"/>
    </xf>
    <xf numFmtId="0" fontId="0" fillId="0" borderId="0" xfId="0" applyFill="1"/>
    <xf numFmtId="0" fontId="3" fillId="5" borderId="1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left" vertical="center"/>
    </xf>
    <xf numFmtId="0" fontId="0" fillId="0" borderId="0" xfId="0" applyFill="1"/>
    <xf numFmtId="0" fontId="3" fillId="5" borderId="1" xfId="0" applyFont="1" applyFill="1" applyBorder="1" applyAlignment="1">
      <alignment horizontal="left" vertical="center" wrapText="1"/>
    </xf>
    <xf numFmtId="0" fontId="1" fillId="3" borderId="0" xfId="0" applyFont="1" applyFill="1" applyAlignment="1">
      <alignment horizontal="left" vertical="center"/>
    </xf>
    <xf numFmtId="0" fontId="0" fillId="0" borderId="0" xfId="0" applyFill="1"/>
    <xf numFmtId="0" fontId="2" fillId="4" borderId="1" xfId="0" applyFont="1" applyFill="1" applyBorder="1" applyAlignment="1">
      <alignment horizontal="center" vertical="center" wrapText="1"/>
    </xf>
    <xf numFmtId="0" fontId="0" fillId="0" borderId="4" xfId="0" applyFill="1" applyBorder="1"/>
    <xf numFmtId="0" fontId="0" fillId="0" borderId="5" xfId="0" applyFill="1" applyBorder="1"/>
    <xf numFmtId="0" fontId="3" fillId="5" borderId="1" xfId="0" applyFont="1" applyFill="1" applyBorder="1" applyAlignment="1">
      <alignment horizontal="left" vertical="center" wrapText="1"/>
    </xf>
    <xf numFmtId="0" fontId="0" fillId="0" borderId="2" xfId="0" applyFill="1" applyBorder="1"/>
    <xf numFmtId="0" fontId="0" fillId="0" borderId="3" xfId="0" applyFill="1" applyBorder="1"/>
    <xf numFmtId="0" fontId="0" fillId="0" borderId="6" xfId="0" applyFill="1" applyBorder="1"/>
    <xf numFmtId="0" fontId="0" fillId="0" borderId="7" xfId="0" applyFill="1" applyBorder="1"/>
    <xf numFmtId="0" fontId="0" fillId="0" borderId="8" xfId="0" applyFill="1" applyBorder="1"/>
    <xf numFmtId="0" fontId="0" fillId="0" borderId="9" xfId="0" applyFill="1" applyBorder="1"/>
    <xf numFmtId="0" fontId="0" fillId="0" borderId="10" xfId="0" applyFill="1" applyBorder="1"/>
    <xf numFmtId="0" fontId="12" fillId="5" borderId="1" xfId="0" applyFont="1" applyFill="1" applyBorder="1" applyAlignment="1">
      <alignment horizontal="left" vertical="center"/>
    </xf>
  </cellXfs>
  <cellStyles count="2">
    <cellStyle name="표준" xfId="0" builtinId="0"/>
    <cellStyle name="표준 2" xfId="1" xr:uid="{77C27F0B-5E76-4437-9DF5-E6A3BBD6D65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6"/>
  <sheetViews>
    <sheetView showGridLines="0" topLeftCell="A13" workbookViewId="0">
      <selection activeCell="A50" sqref="A50"/>
    </sheetView>
  </sheetViews>
  <sheetFormatPr defaultRowHeight="15" x14ac:dyDescent="0.25"/>
  <cols>
    <col min="1" max="1" width="120" style="1" customWidth="1"/>
  </cols>
  <sheetData>
    <row r="1" spans="1:1" ht="24" customHeight="1" x14ac:dyDescent="0.25">
      <c r="A1" s="3" t="s">
        <v>0</v>
      </c>
    </row>
    <row r="2" spans="1:1" x14ac:dyDescent="0.25">
      <c r="A2" s="4" t="s">
        <v>1</v>
      </c>
    </row>
    <row r="3" spans="1:1" ht="32.1" customHeight="1" x14ac:dyDescent="0.25">
      <c r="A3" s="9" t="s">
        <v>2</v>
      </c>
    </row>
    <row r="4" spans="1:1" x14ac:dyDescent="0.25">
      <c r="A4" s="9" t="s">
        <v>3</v>
      </c>
    </row>
    <row r="5" spans="1:1" x14ac:dyDescent="0.25">
      <c r="A5" s="9" t="s">
        <v>4</v>
      </c>
    </row>
    <row r="6" spans="1:1" x14ac:dyDescent="0.25">
      <c r="A6" s="9" t="s">
        <v>5</v>
      </c>
    </row>
    <row r="7" spans="1:1" x14ac:dyDescent="0.25">
      <c r="A7" s="9" t="s">
        <v>6</v>
      </c>
    </row>
    <row r="8" spans="1:1" x14ac:dyDescent="0.25">
      <c r="A8" s="9" t="s">
        <v>7</v>
      </c>
    </row>
    <row r="9" spans="1:1" x14ac:dyDescent="0.25">
      <c r="A9" s="9" t="s">
        <v>8</v>
      </c>
    </row>
    <row r="10" spans="1:1" x14ac:dyDescent="0.25">
      <c r="A10" s="9" t="s">
        <v>9</v>
      </c>
    </row>
    <row r="11" spans="1:1" x14ac:dyDescent="0.25">
      <c r="A11" s="9" t="s">
        <v>10</v>
      </c>
    </row>
    <row r="12" spans="1:1" x14ac:dyDescent="0.25">
      <c r="A12" s="4"/>
    </row>
    <row r="13" spans="1:1" x14ac:dyDescent="0.25">
      <c r="A13" s="9" t="s">
        <v>11</v>
      </c>
    </row>
    <row r="14" spans="1:1" x14ac:dyDescent="0.25">
      <c r="A14" s="9" t="s">
        <v>12</v>
      </c>
    </row>
    <row r="15" spans="1:1" x14ac:dyDescent="0.25">
      <c r="A15" s="9" t="s">
        <v>13</v>
      </c>
    </row>
    <row r="16" spans="1:1" x14ac:dyDescent="0.25">
      <c r="A16" s="9" t="s">
        <v>14</v>
      </c>
    </row>
    <row r="17" spans="1:1" x14ac:dyDescent="0.25">
      <c r="A17" s="9" t="s">
        <v>15</v>
      </c>
    </row>
    <row r="18" spans="1:1" x14ac:dyDescent="0.25">
      <c r="A18" s="9" t="s">
        <v>16</v>
      </c>
    </row>
    <row r="19" spans="1:1" x14ac:dyDescent="0.25">
      <c r="A19" s="9" t="s">
        <v>17</v>
      </c>
    </row>
    <row r="20" spans="1:1" x14ac:dyDescent="0.25">
      <c r="A20" s="4"/>
    </row>
    <row r="21" spans="1:1" x14ac:dyDescent="0.25">
      <c r="A21" s="9" t="s">
        <v>18</v>
      </c>
    </row>
    <row r="22" spans="1:1" x14ac:dyDescent="0.25">
      <c r="A22" s="9" t="s">
        <v>19</v>
      </c>
    </row>
    <row r="23" spans="1:1" x14ac:dyDescent="0.25">
      <c r="A23" s="9" t="s">
        <v>20</v>
      </c>
    </row>
    <row r="24" spans="1:1" x14ac:dyDescent="0.25">
      <c r="A24" s="9" t="s">
        <v>21</v>
      </c>
    </row>
    <row r="25" spans="1:1" x14ac:dyDescent="0.25">
      <c r="A25" s="10"/>
    </row>
    <row r="26" spans="1:1" x14ac:dyDescent="0.25">
      <c r="A26" s="10" t="s">
        <v>22</v>
      </c>
    </row>
    <row r="27" spans="1:1" x14ac:dyDescent="0.25">
      <c r="A27" s="10" t="s">
        <v>23</v>
      </c>
    </row>
    <row r="28" spans="1:1" x14ac:dyDescent="0.25">
      <c r="A28" s="10" t="s">
        <v>24</v>
      </c>
    </row>
    <row r="29" spans="1:1" x14ac:dyDescent="0.25">
      <c r="A29" s="10" t="s">
        <v>25</v>
      </c>
    </row>
    <row r="30" spans="1:1" x14ac:dyDescent="0.25">
      <c r="A30" s="10" t="s">
        <v>26</v>
      </c>
    </row>
    <row r="32" spans="1:1" x14ac:dyDescent="0.25">
      <c r="A32" t="s">
        <v>27</v>
      </c>
    </row>
    <row r="33" spans="1:1" x14ac:dyDescent="0.25">
      <c r="A33" t="s">
        <v>28</v>
      </c>
    </row>
    <row r="34" spans="1:1" x14ac:dyDescent="0.25">
      <c r="A34" t="s">
        <v>29</v>
      </c>
    </row>
    <row r="36" spans="1:1" x14ac:dyDescent="0.25">
      <c r="A36" t="s">
        <v>30</v>
      </c>
    </row>
    <row r="37" spans="1:1" x14ac:dyDescent="0.25">
      <c r="A37" t="s">
        <v>31</v>
      </c>
    </row>
    <row r="38" spans="1:1" x14ac:dyDescent="0.25">
      <c r="A38" t="s">
        <v>32</v>
      </c>
    </row>
    <row r="39" spans="1:1" x14ac:dyDescent="0.25">
      <c r="A39" t="s">
        <v>33</v>
      </c>
    </row>
    <row r="40" spans="1:1" x14ac:dyDescent="0.25">
      <c r="A40"/>
    </row>
    <row r="41" spans="1:1" x14ac:dyDescent="0.25">
      <c r="A41" t="s">
        <v>34</v>
      </c>
    </row>
    <row r="42" spans="1:1" x14ac:dyDescent="0.25">
      <c r="A42" t="s">
        <v>35</v>
      </c>
    </row>
    <row r="43" spans="1:1" x14ac:dyDescent="0.25">
      <c r="A43" t="s">
        <v>36</v>
      </c>
    </row>
    <row r="44" spans="1:1" x14ac:dyDescent="0.25">
      <c r="A44" t="s">
        <v>37</v>
      </c>
    </row>
    <row r="45" spans="1:1" x14ac:dyDescent="0.25">
      <c r="A45" t="s">
        <v>38</v>
      </c>
    </row>
    <row r="46" spans="1:1" x14ac:dyDescent="0.25">
      <c r="A46" t="s">
        <v>39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472"/>
  <sheetViews>
    <sheetView showGridLines="0" tabSelected="1" topLeftCell="A23" workbookViewId="0">
      <selection activeCell="A26" sqref="A26"/>
    </sheetView>
  </sheetViews>
  <sheetFormatPr defaultRowHeight="15" x14ac:dyDescent="0.25"/>
  <cols>
    <col min="1" max="1" width="9.28515625" style="1" customWidth="1"/>
    <col min="2" max="2" width="40.42578125" style="1" customWidth="1"/>
    <col min="3" max="5" width="9.42578125" style="1" customWidth="1"/>
    <col min="6" max="6" width="12.85546875" style="1" customWidth="1"/>
    <col min="7" max="7" width="12.5703125" style="1" customWidth="1"/>
    <col min="8" max="8" width="9.28515625" style="1" customWidth="1"/>
    <col min="9" max="9" width="14.7109375" style="1" customWidth="1"/>
    <col min="10" max="10" width="14" style="1" customWidth="1"/>
    <col min="11" max="11" width="16" style="1" customWidth="1"/>
    <col min="12" max="12" width="14" style="1" customWidth="1"/>
    <col min="13" max="13" width="18.28515625" style="1" bestFit="1" customWidth="1"/>
    <col min="14" max="14" width="16" style="1" customWidth="1"/>
    <col min="15" max="15" width="14" style="1" customWidth="1"/>
    <col min="16" max="16" width="16" style="1" customWidth="1"/>
    <col min="17" max="17" width="18" style="1" customWidth="1"/>
    <col min="18" max="19" width="16" style="1" customWidth="1"/>
  </cols>
  <sheetData>
    <row r="1" spans="1:19" ht="24" customHeight="1" x14ac:dyDescent="0.25">
      <c r="A1" s="25" t="s">
        <v>40</v>
      </c>
      <c r="B1" s="26"/>
      <c r="C1" s="26"/>
      <c r="D1" s="26"/>
      <c r="E1" s="26"/>
      <c r="F1" s="26"/>
      <c r="G1" s="26"/>
      <c r="H1" s="26"/>
      <c r="I1" s="26"/>
      <c r="J1" s="3"/>
      <c r="K1" s="3"/>
      <c r="L1" s="3"/>
      <c r="M1" s="3"/>
      <c r="O1" s="3"/>
      <c r="P1" s="3"/>
      <c r="Q1" s="3"/>
      <c r="R1" s="3"/>
      <c r="S1" s="3"/>
    </row>
    <row r="2" spans="1:19" x14ac:dyDescent="0.25">
      <c r="O2" s="2"/>
      <c r="P2" s="2"/>
      <c r="Q2" s="2"/>
      <c r="R2" s="2"/>
      <c r="S2" s="2"/>
    </row>
    <row r="3" spans="1:19" ht="32.1" customHeight="1" x14ac:dyDescent="0.25">
      <c r="A3" s="11" t="s">
        <v>41</v>
      </c>
      <c r="B3" s="11" t="s">
        <v>42</v>
      </c>
      <c r="C3" s="11" t="s">
        <v>43</v>
      </c>
      <c r="D3" s="11" t="s">
        <v>44</v>
      </c>
      <c r="E3" s="11" t="s">
        <v>45</v>
      </c>
      <c r="F3" s="11" t="s">
        <v>46</v>
      </c>
      <c r="G3" s="11" t="s">
        <v>47</v>
      </c>
      <c r="H3" s="11" t="s">
        <v>48</v>
      </c>
      <c r="I3" s="11" t="s">
        <v>49</v>
      </c>
      <c r="J3" s="11" t="s">
        <v>50</v>
      </c>
      <c r="K3" s="11" t="s">
        <v>51</v>
      </c>
      <c r="L3" s="11" t="s">
        <v>52</v>
      </c>
      <c r="M3" s="11" t="s">
        <v>53</v>
      </c>
      <c r="N3" s="11" t="s">
        <v>54</v>
      </c>
      <c r="O3" s="11" t="s">
        <v>55</v>
      </c>
      <c r="P3" s="11" t="s">
        <v>56</v>
      </c>
      <c r="Q3" s="11" t="s">
        <v>57</v>
      </c>
      <c r="R3" s="11" t="s">
        <v>58</v>
      </c>
      <c r="S3" s="11" t="s">
        <v>59</v>
      </c>
    </row>
    <row r="4" spans="1:19" ht="16.5" x14ac:dyDescent="0.25">
      <c r="A4" s="5" t="s">
        <v>60</v>
      </c>
      <c r="B4" s="18" t="s">
        <v>2069</v>
      </c>
      <c r="C4" s="6">
        <v>8.1</v>
      </c>
      <c r="D4" s="6">
        <v>4.9000000000000004</v>
      </c>
      <c r="E4" s="6">
        <v>4.0999999999999996</v>
      </c>
      <c r="F4" s="6">
        <v>0.03</v>
      </c>
      <c r="G4" s="5"/>
      <c r="H4" s="7" t="s">
        <v>61</v>
      </c>
      <c r="I4" s="5" t="s">
        <v>62</v>
      </c>
      <c r="J4" s="17" t="s">
        <v>2068</v>
      </c>
      <c r="K4" s="5" t="str">
        <f t="shared" ref="K4:K71" si="0">IF(G4&lt;&gt;"","BX010","")</f>
        <v/>
      </c>
      <c r="L4" s="5" t="str">
        <f t="shared" ref="L4:L71" si="1">IF(G4&lt;&gt;"",300,"")</f>
        <v/>
      </c>
      <c r="M4" s="5" t="str">
        <f t="shared" ref="M4:M71" si="2">IF(J4="Y","PACKAGE_SEALED",IF(G4&lt;&gt;"","SPECIAL_300","NORMAL"))</f>
        <v>PACKAGE_SEALED</v>
      </c>
      <c r="N4" s="5" t="str">
        <f t="shared" ref="N4:N71" si="3">IF(J4="Y","packages_master","")</f>
        <v>packages_master</v>
      </c>
      <c r="O4" s="12"/>
      <c r="P4" s="12"/>
      <c r="Q4" s="12"/>
      <c r="R4" s="12" t="s">
        <v>63</v>
      </c>
      <c r="S4" s="12"/>
    </row>
    <row r="5" spans="1:19" x14ac:dyDescent="0.25">
      <c r="A5" s="5" t="s">
        <v>64</v>
      </c>
      <c r="B5" s="5" t="s">
        <v>65</v>
      </c>
      <c r="C5" s="6">
        <v>8.1</v>
      </c>
      <c r="D5" s="6">
        <v>4.9000000000000004</v>
      </c>
      <c r="E5" s="6">
        <v>4.0999999999999996</v>
      </c>
      <c r="F5" s="6">
        <v>0.03</v>
      </c>
      <c r="G5" s="5"/>
      <c r="H5" s="7" t="s">
        <v>61</v>
      </c>
      <c r="I5" s="5" t="s">
        <v>62</v>
      </c>
      <c r="J5" s="17" t="s">
        <v>2068</v>
      </c>
      <c r="K5" s="5" t="str">
        <f t="shared" si="0"/>
        <v/>
      </c>
      <c r="L5" s="5" t="str">
        <f t="shared" si="1"/>
        <v/>
      </c>
      <c r="M5" s="5" t="str">
        <f t="shared" si="2"/>
        <v>PACKAGE_SEALED</v>
      </c>
      <c r="N5" s="5" t="str">
        <f t="shared" si="3"/>
        <v>packages_master</v>
      </c>
      <c r="O5" s="12"/>
      <c r="P5" s="12"/>
      <c r="Q5" s="12"/>
      <c r="R5" s="12" t="s">
        <v>63</v>
      </c>
      <c r="S5" s="12"/>
    </row>
    <row r="6" spans="1:19" x14ac:dyDescent="0.25">
      <c r="A6" s="5" t="s">
        <v>66</v>
      </c>
      <c r="B6" s="5" t="s">
        <v>67</v>
      </c>
      <c r="C6" s="8">
        <v>7</v>
      </c>
      <c r="D6" s="6">
        <v>4.8</v>
      </c>
      <c r="E6" s="6">
        <v>3.2</v>
      </c>
      <c r="F6" s="6">
        <v>2.5000000000000001E-2</v>
      </c>
      <c r="G6" s="5"/>
      <c r="H6" s="7" t="s">
        <v>61</v>
      </c>
      <c r="I6" s="5" t="s">
        <v>62</v>
      </c>
      <c r="J6" s="5" t="str">
        <f>IF(COUNTIF(packages_master!$A:$A,A6)&gt;0,"Y","N")</f>
        <v>N</v>
      </c>
      <c r="K6" s="5" t="str">
        <f t="shared" si="0"/>
        <v/>
      </c>
      <c r="L6" s="5" t="str">
        <f t="shared" si="1"/>
        <v/>
      </c>
      <c r="M6" s="5" t="str">
        <f t="shared" si="2"/>
        <v>NORMAL</v>
      </c>
      <c r="N6" s="5" t="str">
        <f t="shared" si="3"/>
        <v/>
      </c>
      <c r="O6" s="12"/>
      <c r="P6" s="12"/>
      <c r="Q6" s="12"/>
      <c r="R6" s="12" t="s">
        <v>63</v>
      </c>
      <c r="S6" s="12"/>
    </row>
    <row r="7" spans="1:19" x14ac:dyDescent="0.25">
      <c r="A7" s="5" t="s">
        <v>68</v>
      </c>
      <c r="B7" s="5" t="s">
        <v>69</v>
      </c>
      <c r="C7" s="8">
        <v>7</v>
      </c>
      <c r="D7" s="6">
        <v>4.5</v>
      </c>
      <c r="E7" s="8">
        <v>3</v>
      </c>
      <c r="F7" s="6">
        <v>2.5000000000000001E-2</v>
      </c>
      <c r="G7" s="5"/>
      <c r="H7" s="7" t="s">
        <v>61</v>
      </c>
      <c r="I7" s="5" t="s">
        <v>62</v>
      </c>
      <c r="J7" s="5" t="str">
        <f>IF(COUNTIF(packages_master!$A:$A,A7)&gt;0,"Y","N")</f>
        <v>N</v>
      </c>
      <c r="K7" s="5" t="str">
        <f t="shared" si="0"/>
        <v/>
      </c>
      <c r="L7" s="5" t="str">
        <f t="shared" si="1"/>
        <v/>
      </c>
      <c r="M7" s="5" t="str">
        <f t="shared" si="2"/>
        <v>NORMAL</v>
      </c>
      <c r="N7" s="5" t="str">
        <f t="shared" si="3"/>
        <v/>
      </c>
      <c r="O7" s="12"/>
      <c r="P7" s="12"/>
      <c r="Q7" s="12"/>
      <c r="R7" s="12" t="s">
        <v>63</v>
      </c>
      <c r="S7" s="12"/>
    </row>
    <row r="8" spans="1:19" x14ac:dyDescent="0.25">
      <c r="A8" s="5" t="s">
        <v>70</v>
      </c>
      <c r="B8" s="5" t="s">
        <v>71</v>
      </c>
      <c r="C8" s="8">
        <v>7</v>
      </c>
      <c r="D8" s="6">
        <v>4.5</v>
      </c>
      <c r="E8" s="8">
        <v>3</v>
      </c>
      <c r="F8" s="6">
        <v>2.5999999999999999E-2</v>
      </c>
      <c r="G8" s="5"/>
      <c r="H8" s="7" t="s">
        <v>61</v>
      </c>
      <c r="I8" s="5" t="s">
        <v>62</v>
      </c>
      <c r="J8" s="5" t="str">
        <f>IF(COUNTIF(packages_master!$A:$A,A8)&gt;0,"Y","N")</f>
        <v>N</v>
      </c>
      <c r="K8" s="5" t="str">
        <f t="shared" si="0"/>
        <v/>
      </c>
      <c r="L8" s="5" t="str">
        <f t="shared" si="1"/>
        <v/>
      </c>
      <c r="M8" s="5" t="str">
        <f t="shared" si="2"/>
        <v>NORMAL</v>
      </c>
      <c r="N8" s="5" t="str">
        <f t="shared" si="3"/>
        <v/>
      </c>
      <c r="O8" s="12"/>
      <c r="P8" s="12"/>
      <c r="Q8" s="12"/>
      <c r="R8" s="12" t="s">
        <v>63</v>
      </c>
      <c r="S8" s="12"/>
    </row>
    <row r="9" spans="1:19" x14ac:dyDescent="0.25">
      <c r="A9" s="5" t="s">
        <v>72</v>
      </c>
      <c r="B9" s="5" t="s">
        <v>73</v>
      </c>
      <c r="C9" s="6">
        <v>7.5</v>
      </c>
      <c r="D9" s="6">
        <v>4.5999999999999996</v>
      </c>
      <c r="E9" s="6">
        <v>2.7</v>
      </c>
      <c r="F9" s="6">
        <v>1.7000000000000001E-2</v>
      </c>
      <c r="G9" s="5"/>
      <c r="H9" s="7" t="s">
        <v>61</v>
      </c>
      <c r="I9" s="5" t="s">
        <v>62</v>
      </c>
      <c r="J9" s="5" t="str">
        <f>IF(COUNTIF(packages_master!$A:$A,A9)&gt;0,"Y","N")</f>
        <v>N</v>
      </c>
      <c r="K9" s="5" t="str">
        <f t="shared" si="0"/>
        <v/>
      </c>
      <c r="L9" s="5" t="str">
        <f t="shared" si="1"/>
        <v/>
      </c>
      <c r="M9" s="5" t="str">
        <f t="shared" si="2"/>
        <v>NORMAL</v>
      </c>
      <c r="N9" s="5" t="str">
        <f t="shared" si="3"/>
        <v/>
      </c>
      <c r="O9" s="12"/>
      <c r="P9" s="12"/>
      <c r="Q9" s="12"/>
      <c r="R9" s="12" t="s">
        <v>63</v>
      </c>
      <c r="S9" s="12"/>
    </row>
    <row r="10" spans="1:19" x14ac:dyDescent="0.25">
      <c r="A10" s="5" t="s">
        <v>74</v>
      </c>
      <c r="B10" s="5" t="s">
        <v>75</v>
      </c>
      <c r="C10" s="6">
        <v>6.8</v>
      </c>
      <c r="D10" s="6">
        <v>4.5999999999999996</v>
      </c>
      <c r="E10" s="6">
        <v>3.6</v>
      </c>
      <c r="F10" s="6">
        <v>2.5000000000000001E-2</v>
      </c>
      <c r="G10" s="5"/>
      <c r="H10" s="7" t="s">
        <v>61</v>
      </c>
      <c r="I10" s="5" t="s">
        <v>62</v>
      </c>
      <c r="J10" s="5" t="str">
        <f>IF(COUNTIF(packages_master!$A:$A,A10)&gt;0,"Y","N")</f>
        <v>N</v>
      </c>
      <c r="K10" s="5" t="str">
        <f t="shared" si="0"/>
        <v/>
      </c>
      <c r="L10" s="5" t="str">
        <f t="shared" si="1"/>
        <v/>
      </c>
      <c r="M10" s="5" t="str">
        <f t="shared" si="2"/>
        <v>NORMAL</v>
      </c>
      <c r="N10" s="5" t="str">
        <f t="shared" si="3"/>
        <v/>
      </c>
      <c r="O10" s="12"/>
      <c r="P10" s="12"/>
      <c r="Q10" s="12"/>
      <c r="R10" s="12" t="s">
        <v>63</v>
      </c>
      <c r="S10" s="12"/>
    </row>
    <row r="11" spans="1:19" x14ac:dyDescent="0.25">
      <c r="A11" s="5" t="s">
        <v>76</v>
      </c>
      <c r="B11" s="5" t="s">
        <v>77</v>
      </c>
      <c r="C11" s="6">
        <v>6.8</v>
      </c>
      <c r="D11" s="6">
        <v>4.5999999999999996</v>
      </c>
      <c r="E11" s="6">
        <v>3.6</v>
      </c>
      <c r="F11" s="6">
        <v>2.5000000000000001E-2</v>
      </c>
      <c r="G11" s="5"/>
      <c r="H11" s="7" t="s">
        <v>61</v>
      </c>
      <c r="I11" s="5" t="s">
        <v>62</v>
      </c>
      <c r="J11" s="5" t="str">
        <f>IF(COUNTIF(packages_master!$A:$A,A11)&gt;0,"Y","N")</f>
        <v>N</v>
      </c>
      <c r="K11" s="5" t="str">
        <f t="shared" si="0"/>
        <v/>
      </c>
      <c r="L11" s="5" t="str">
        <f t="shared" si="1"/>
        <v/>
      </c>
      <c r="M11" s="5" t="str">
        <f t="shared" si="2"/>
        <v>NORMAL</v>
      </c>
      <c r="N11" s="5" t="str">
        <f t="shared" si="3"/>
        <v/>
      </c>
      <c r="O11" s="12"/>
      <c r="P11" s="12"/>
      <c r="Q11" s="12"/>
      <c r="R11" s="12" t="s">
        <v>63</v>
      </c>
      <c r="S11" s="12"/>
    </row>
    <row r="12" spans="1:19" x14ac:dyDescent="0.25">
      <c r="A12" s="5" t="s">
        <v>78</v>
      </c>
      <c r="B12" s="5" t="s">
        <v>79</v>
      </c>
      <c r="C12" s="6">
        <v>7.1</v>
      </c>
      <c r="D12" s="6">
        <v>4.7</v>
      </c>
      <c r="E12" s="6">
        <v>3.4</v>
      </c>
      <c r="F12" s="6">
        <v>2.3E-2</v>
      </c>
      <c r="G12" s="5"/>
      <c r="H12" s="7" t="s">
        <v>61</v>
      </c>
      <c r="I12" s="5" t="s">
        <v>62</v>
      </c>
      <c r="J12" s="5" t="str">
        <f>IF(COUNTIF(packages_master!$A:$A,A12)&gt;0,"Y","N")</f>
        <v>N</v>
      </c>
      <c r="K12" s="5" t="str">
        <f t="shared" si="0"/>
        <v/>
      </c>
      <c r="L12" s="5" t="str">
        <f t="shared" si="1"/>
        <v/>
      </c>
      <c r="M12" s="5" t="str">
        <f t="shared" si="2"/>
        <v>NORMAL</v>
      </c>
      <c r="N12" s="5" t="str">
        <f t="shared" si="3"/>
        <v/>
      </c>
      <c r="O12" s="12"/>
      <c r="P12" s="12"/>
      <c r="Q12" s="12"/>
      <c r="R12" s="12" t="s">
        <v>63</v>
      </c>
      <c r="S12" s="12"/>
    </row>
    <row r="13" spans="1:19" x14ac:dyDescent="0.25">
      <c r="A13" s="5" t="s">
        <v>80</v>
      </c>
      <c r="B13" s="5" t="s">
        <v>81</v>
      </c>
      <c r="C13" s="6">
        <v>7.1</v>
      </c>
      <c r="D13" s="6">
        <v>4.7</v>
      </c>
      <c r="E13" s="6">
        <v>3.4</v>
      </c>
      <c r="F13" s="6">
        <v>2.4E-2</v>
      </c>
      <c r="G13" s="5"/>
      <c r="H13" s="7" t="s">
        <v>61</v>
      </c>
      <c r="I13" s="5" t="s">
        <v>62</v>
      </c>
      <c r="J13" s="5" t="str">
        <f>IF(COUNTIF(packages_master!$A:$A,A13)&gt;0,"Y","N")</f>
        <v>N</v>
      </c>
      <c r="K13" s="5" t="str">
        <f t="shared" si="0"/>
        <v/>
      </c>
      <c r="L13" s="5" t="str">
        <f t="shared" si="1"/>
        <v/>
      </c>
      <c r="M13" s="5" t="str">
        <f t="shared" si="2"/>
        <v>NORMAL</v>
      </c>
      <c r="N13" s="5" t="str">
        <f t="shared" si="3"/>
        <v/>
      </c>
      <c r="O13" s="12"/>
      <c r="P13" s="12"/>
      <c r="Q13" s="12"/>
      <c r="R13" s="12" t="s">
        <v>63</v>
      </c>
      <c r="S13" s="12"/>
    </row>
    <row r="14" spans="1:19" x14ac:dyDescent="0.25">
      <c r="A14" s="5" t="s">
        <v>82</v>
      </c>
      <c r="B14" s="5" t="s">
        <v>83</v>
      </c>
      <c r="C14" s="6">
        <v>6.9</v>
      </c>
      <c r="D14" s="6">
        <v>4.7</v>
      </c>
      <c r="E14" s="6">
        <v>3.2</v>
      </c>
      <c r="F14" s="6">
        <v>2.5000000000000001E-2</v>
      </c>
      <c r="G14" s="5"/>
      <c r="H14" s="7" t="s">
        <v>61</v>
      </c>
      <c r="I14" s="5" t="s">
        <v>62</v>
      </c>
      <c r="J14" s="5" t="str">
        <f>IF(COUNTIF(packages_master!$A:$A,A14)&gt;0,"Y","N")</f>
        <v>N</v>
      </c>
      <c r="K14" s="5" t="str">
        <f t="shared" si="0"/>
        <v/>
      </c>
      <c r="L14" s="5" t="str">
        <f t="shared" si="1"/>
        <v/>
      </c>
      <c r="M14" s="5" t="str">
        <f t="shared" si="2"/>
        <v>NORMAL</v>
      </c>
      <c r="N14" s="5" t="str">
        <f t="shared" si="3"/>
        <v/>
      </c>
      <c r="O14" s="12"/>
      <c r="P14" s="12"/>
      <c r="Q14" s="12"/>
      <c r="R14" s="12" t="s">
        <v>63</v>
      </c>
      <c r="S14" s="12"/>
    </row>
    <row r="15" spans="1:19" x14ac:dyDescent="0.25">
      <c r="A15" s="5" t="s">
        <v>84</v>
      </c>
      <c r="B15" s="5" t="s">
        <v>85</v>
      </c>
      <c r="C15" s="6">
        <v>6.9</v>
      </c>
      <c r="D15" s="6">
        <v>4.7</v>
      </c>
      <c r="E15" s="6">
        <v>3.2</v>
      </c>
      <c r="F15" s="6">
        <v>2.5999999999999999E-2</v>
      </c>
      <c r="G15" s="5"/>
      <c r="H15" s="7" t="s">
        <v>61</v>
      </c>
      <c r="I15" s="5" t="s">
        <v>62</v>
      </c>
      <c r="J15" s="5" t="str">
        <f>IF(COUNTIF(packages_master!$A:$A,A15)&gt;0,"Y","N")</f>
        <v>N</v>
      </c>
      <c r="K15" s="5" t="str">
        <f t="shared" si="0"/>
        <v/>
      </c>
      <c r="L15" s="5" t="str">
        <f t="shared" si="1"/>
        <v/>
      </c>
      <c r="M15" s="5" t="str">
        <f t="shared" si="2"/>
        <v>NORMAL</v>
      </c>
      <c r="N15" s="5" t="str">
        <f t="shared" si="3"/>
        <v/>
      </c>
      <c r="O15" s="12"/>
      <c r="P15" s="12"/>
      <c r="Q15" s="12"/>
      <c r="R15" s="12" t="s">
        <v>63</v>
      </c>
      <c r="S15" s="12"/>
    </row>
    <row r="16" spans="1:19" x14ac:dyDescent="0.25">
      <c r="A16" s="5" t="s">
        <v>86</v>
      </c>
      <c r="B16" s="5" t="s">
        <v>87</v>
      </c>
      <c r="C16" s="6">
        <v>6.8</v>
      </c>
      <c r="D16" s="6">
        <v>4.5</v>
      </c>
      <c r="E16" s="6">
        <v>3.6</v>
      </c>
      <c r="F16" s="6">
        <v>2.5999999999999999E-2</v>
      </c>
      <c r="G16" s="5"/>
      <c r="H16" s="7" t="s">
        <v>61</v>
      </c>
      <c r="I16" s="5" t="s">
        <v>62</v>
      </c>
      <c r="J16" s="5" t="str">
        <f>IF(COUNTIF(packages_master!$A:$A,A16)&gt;0,"Y","N")</f>
        <v>N</v>
      </c>
      <c r="K16" s="5" t="str">
        <f t="shared" si="0"/>
        <v/>
      </c>
      <c r="L16" s="5" t="str">
        <f t="shared" si="1"/>
        <v/>
      </c>
      <c r="M16" s="5" t="str">
        <f t="shared" si="2"/>
        <v>NORMAL</v>
      </c>
      <c r="N16" s="5" t="str">
        <f t="shared" si="3"/>
        <v/>
      </c>
      <c r="O16" s="12"/>
      <c r="P16" s="12"/>
      <c r="Q16" s="12"/>
      <c r="R16" s="12" t="s">
        <v>63</v>
      </c>
      <c r="S16" s="12"/>
    </row>
    <row r="17" spans="1:19" x14ac:dyDescent="0.25">
      <c r="A17" s="5" t="s">
        <v>88</v>
      </c>
      <c r="B17" s="5" t="s">
        <v>89</v>
      </c>
      <c r="C17" s="6">
        <v>6.8</v>
      </c>
      <c r="D17" s="6">
        <v>4.5</v>
      </c>
      <c r="E17" s="6">
        <v>3.6</v>
      </c>
      <c r="F17" s="6">
        <v>2.5999999999999999E-2</v>
      </c>
      <c r="G17" s="5"/>
      <c r="H17" s="7" t="s">
        <v>61</v>
      </c>
      <c r="I17" s="5" t="s">
        <v>62</v>
      </c>
      <c r="J17" s="5" t="str">
        <f>IF(COUNTIF(packages_master!$A:$A,A17)&gt;0,"Y","N")</f>
        <v>N</v>
      </c>
      <c r="K17" s="5" t="str">
        <f t="shared" si="0"/>
        <v/>
      </c>
      <c r="L17" s="5" t="str">
        <f t="shared" si="1"/>
        <v/>
      </c>
      <c r="M17" s="5" t="str">
        <f t="shared" si="2"/>
        <v>NORMAL</v>
      </c>
      <c r="N17" s="5" t="str">
        <f t="shared" si="3"/>
        <v/>
      </c>
      <c r="O17" s="12"/>
      <c r="P17" s="12"/>
      <c r="Q17" s="12"/>
      <c r="R17" s="12" t="s">
        <v>63</v>
      </c>
      <c r="S17" s="12"/>
    </row>
    <row r="18" spans="1:19" x14ac:dyDescent="0.25">
      <c r="A18" s="5" t="s">
        <v>90</v>
      </c>
      <c r="B18" s="5" t="s">
        <v>91</v>
      </c>
      <c r="C18" s="6">
        <v>6.8</v>
      </c>
      <c r="D18" s="6">
        <v>4.5</v>
      </c>
      <c r="E18" s="6">
        <v>3.6</v>
      </c>
      <c r="F18" s="6">
        <v>2.5999999999999999E-2</v>
      </c>
      <c r="G18" s="5"/>
      <c r="H18" s="7" t="s">
        <v>61</v>
      </c>
      <c r="I18" s="5" t="s">
        <v>62</v>
      </c>
      <c r="J18" s="5" t="str">
        <f>IF(COUNTIF(packages_master!$A:$A,A18)&gt;0,"Y","N")</f>
        <v>N</v>
      </c>
      <c r="K18" s="5" t="str">
        <f t="shared" si="0"/>
        <v/>
      </c>
      <c r="L18" s="5" t="str">
        <f t="shared" si="1"/>
        <v/>
      </c>
      <c r="M18" s="5" t="str">
        <f t="shared" si="2"/>
        <v>NORMAL</v>
      </c>
      <c r="N18" s="5" t="str">
        <f t="shared" si="3"/>
        <v/>
      </c>
      <c r="O18" s="12"/>
      <c r="P18" s="12"/>
      <c r="Q18" s="12"/>
      <c r="R18" s="12" t="s">
        <v>63</v>
      </c>
      <c r="S18" s="12"/>
    </row>
    <row r="19" spans="1:19" x14ac:dyDescent="0.25">
      <c r="A19" s="5" t="s">
        <v>92</v>
      </c>
      <c r="B19" s="5" t="s">
        <v>93</v>
      </c>
      <c r="C19" s="8">
        <v>7</v>
      </c>
      <c r="D19" s="6">
        <v>4.5999999999999996</v>
      </c>
      <c r="E19" s="6">
        <v>3.4</v>
      </c>
      <c r="F19" s="6">
        <v>2.3E-2</v>
      </c>
      <c r="G19" s="5"/>
      <c r="H19" s="7" t="s">
        <v>61</v>
      </c>
      <c r="I19" s="5" t="s">
        <v>62</v>
      </c>
      <c r="J19" s="5" t="str">
        <f>IF(COUNTIF(packages_master!$A:$A,A19)&gt;0,"Y","N")</f>
        <v>N</v>
      </c>
      <c r="K19" s="5" t="str">
        <f t="shared" si="0"/>
        <v/>
      </c>
      <c r="L19" s="5" t="str">
        <f t="shared" si="1"/>
        <v/>
      </c>
      <c r="M19" s="5" t="str">
        <f t="shared" si="2"/>
        <v>NORMAL</v>
      </c>
      <c r="N19" s="5" t="str">
        <f t="shared" si="3"/>
        <v/>
      </c>
      <c r="O19" s="12"/>
      <c r="P19" s="12"/>
      <c r="Q19" s="12"/>
      <c r="R19" s="12" t="s">
        <v>63</v>
      </c>
      <c r="S19" s="12"/>
    </row>
    <row r="20" spans="1:19" x14ac:dyDescent="0.25">
      <c r="A20" s="5" t="s">
        <v>94</v>
      </c>
      <c r="B20" s="5" t="s">
        <v>95</v>
      </c>
      <c r="C20" s="8">
        <v>7</v>
      </c>
      <c r="D20" s="6">
        <v>4.5999999999999996</v>
      </c>
      <c r="E20" s="6">
        <v>3.4</v>
      </c>
      <c r="F20" s="6">
        <v>2.3E-2</v>
      </c>
      <c r="G20" s="5"/>
      <c r="H20" s="7" t="s">
        <v>61</v>
      </c>
      <c r="I20" s="5" t="s">
        <v>62</v>
      </c>
      <c r="J20" s="5" t="str">
        <f>IF(COUNTIF(packages_master!$A:$A,A20)&gt;0,"Y","N")</f>
        <v>N</v>
      </c>
      <c r="K20" s="5" t="str">
        <f t="shared" si="0"/>
        <v/>
      </c>
      <c r="L20" s="5" t="str">
        <f t="shared" si="1"/>
        <v/>
      </c>
      <c r="M20" s="5" t="str">
        <f t="shared" si="2"/>
        <v>NORMAL</v>
      </c>
      <c r="N20" s="5" t="str">
        <f t="shared" si="3"/>
        <v/>
      </c>
      <c r="O20" s="12"/>
      <c r="P20" s="12"/>
      <c r="Q20" s="12"/>
      <c r="R20" s="12" t="s">
        <v>63</v>
      </c>
      <c r="S20" s="12"/>
    </row>
    <row r="21" spans="1:19" s="20" customFormat="1" ht="30" x14ac:dyDescent="0.25">
      <c r="A21" s="21" t="s">
        <v>1137</v>
      </c>
      <c r="B21" s="21" t="s">
        <v>1138</v>
      </c>
      <c r="C21" s="6">
        <v>7.1</v>
      </c>
      <c r="D21" s="6">
        <v>4.9000000000000004</v>
      </c>
      <c r="E21" s="6">
        <v>3.7</v>
      </c>
      <c r="F21" s="6">
        <v>2.5000000000000001E-2</v>
      </c>
      <c r="G21" s="5"/>
      <c r="H21" s="7" t="s">
        <v>61</v>
      </c>
      <c r="I21" s="5" t="s">
        <v>62</v>
      </c>
      <c r="J21" s="5" t="str">
        <f>IF(COUNTIF(packages_master!$A:$A,A21)&gt;0,"Y","N")</f>
        <v>Y</v>
      </c>
      <c r="K21" s="5" t="str">
        <f t="shared" si="0"/>
        <v/>
      </c>
      <c r="L21" s="5" t="str">
        <f t="shared" si="1"/>
        <v/>
      </c>
      <c r="M21" s="5" t="str">
        <f t="shared" si="2"/>
        <v>PACKAGE_SEALED</v>
      </c>
      <c r="N21" s="5" t="str">
        <f t="shared" si="3"/>
        <v>packages_master</v>
      </c>
      <c r="O21" s="21">
        <v>200</v>
      </c>
      <c r="P21" s="21" t="s">
        <v>98</v>
      </c>
      <c r="Q21" s="21" t="s">
        <v>99</v>
      </c>
      <c r="R21" s="21" t="s">
        <v>61</v>
      </c>
      <c r="S21" s="21" t="s">
        <v>100</v>
      </c>
    </row>
    <row r="22" spans="1:19" s="20" customFormat="1" ht="30" x14ac:dyDescent="0.25">
      <c r="A22" s="21" t="s">
        <v>1139</v>
      </c>
      <c r="B22" s="21" t="s">
        <v>1140</v>
      </c>
      <c r="C22" s="6">
        <v>7.1</v>
      </c>
      <c r="D22" s="6">
        <v>4.9000000000000004</v>
      </c>
      <c r="E22" s="6">
        <v>3.7</v>
      </c>
      <c r="F22" s="6">
        <v>2.5000000000000001E-2</v>
      </c>
      <c r="G22" s="5"/>
      <c r="H22" s="7" t="s">
        <v>61</v>
      </c>
      <c r="I22" s="5" t="s">
        <v>62</v>
      </c>
      <c r="J22" s="5" t="str">
        <f>IF(COUNTIF(packages_master!$A:$A,A22)&gt;0,"Y","N")</f>
        <v>Y</v>
      </c>
      <c r="K22" s="5" t="str">
        <f t="shared" ref="K22" si="4">IF(G22&lt;&gt;"","BX010","")</f>
        <v/>
      </c>
      <c r="L22" s="5" t="str">
        <f t="shared" ref="L22" si="5">IF(G22&lt;&gt;"",300,"")</f>
        <v/>
      </c>
      <c r="M22" s="5" t="str">
        <f t="shared" ref="M22" si="6">IF(J22="Y","PACKAGE_SEALED",IF(G22&lt;&gt;"","SPECIAL_300","NORMAL"))</f>
        <v>PACKAGE_SEALED</v>
      </c>
      <c r="N22" s="5" t="str">
        <f t="shared" ref="N22" si="7">IF(J22="Y","packages_master","")</f>
        <v>packages_master</v>
      </c>
      <c r="O22" s="21">
        <v>200</v>
      </c>
      <c r="P22" s="21" t="s">
        <v>98</v>
      </c>
      <c r="Q22" s="21" t="s">
        <v>99</v>
      </c>
      <c r="R22" s="21" t="s">
        <v>61</v>
      </c>
      <c r="S22" s="21" t="s">
        <v>100</v>
      </c>
    </row>
    <row r="23" spans="1:19" ht="30" x14ac:dyDescent="0.25">
      <c r="A23" s="5" t="s">
        <v>96</v>
      </c>
      <c r="B23" s="5" t="s">
        <v>97</v>
      </c>
      <c r="C23" s="6">
        <v>7.1</v>
      </c>
      <c r="D23" s="6">
        <v>4.9000000000000004</v>
      </c>
      <c r="E23" s="6">
        <v>3.7</v>
      </c>
      <c r="F23" s="6">
        <v>2.5000000000000001E-2</v>
      </c>
      <c r="G23" s="5"/>
      <c r="H23" s="7" t="s">
        <v>61</v>
      </c>
      <c r="I23" s="5" t="s">
        <v>62</v>
      </c>
      <c r="J23" s="5" t="str">
        <f>IF(COUNTIF(packages_master!$A:$A,A23)&gt;0,"Y","N")</f>
        <v>Y</v>
      </c>
      <c r="K23" s="5" t="str">
        <f t="shared" si="0"/>
        <v/>
      </c>
      <c r="L23" s="5" t="str">
        <f t="shared" si="1"/>
        <v/>
      </c>
      <c r="M23" s="5" t="str">
        <f t="shared" si="2"/>
        <v>PACKAGE_SEALED</v>
      </c>
      <c r="N23" s="5" t="str">
        <f t="shared" si="3"/>
        <v>packages_master</v>
      </c>
      <c r="O23" s="12">
        <v>200</v>
      </c>
      <c r="P23" s="12" t="s">
        <v>98</v>
      </c>
      <c r="Q23" s="12" t="s">
        <v>99</v>
      </c>
      <c r="R23" s="12" t="s">
        <v>61</v>
      </c>
      <c r="S23" s="12" t="s">
        <v>100</v>
      </c>
    </row>
    <row r="24" spans="1:19" ht="30" x14ac:dyDescent="0.25">
      <c r="A24" s="5" t="s">
        <v>101</v>
      </c>
      <c r="B24" s="22" t="s">
        <v>2071</v>
      </c>
      <c r="C24" s="6">
        <v>7.1</v>
      </c>
      <c r="D24" s="6">
        <v>4.9000000000000004</v>
      </c>
      <c r="E24" s="6">
        <v>3.7</v>
      </c>
      <c r="F24" s="6">
        <v>2.5000000000000001E-2</v>
      </c>
      <c r="G24" s="5"/>
      <c r="H24" s="7" t="s">
        <v>61</v>
      </c>
      <c r="I24" s="5" t="s">
        <v>62</v>
      </c>
      <c r="J24" s="5" t="str">
        <f>IF(COUNTIF(packages_master!$A:$A,A24)&gt;0,"Y","N")</f>
        <v>Y</v>
      </c>
      <c r="K24" s="5" t="str">
        <f t="shared" si="0"/>
        <v/>
      </c>
      <c r="L24" s="5" t="str">
        <f t="shared" si="1"/>
        <v/>
      </c>
      <c r="M24" s="5" t="str">
        <f t="shared" si="2"/>
        <v>PACKAGE_SEALED</v>
      </c>
      <c r="N24" s="5" t="str">
        <f t="shared" si="3"/>
        <v>packages_master</v>
      </c>
      <c r="O24" s="12">
        <v>200</v>
      </c>
      <c r="P24" s="12" t="s">
        <v>98</v>
      </c>
      <c r="Q24" s="12" t="s">
        <v>99</v>
      </c>
      <c r="R24" s="12" t="s">
        <v>61</v>
      </c>
      <c r="S24" s="12" t="s">
        <v>100</v>
      </c>
    </row>
    <row r="25" spans="1:19" s="23" customFormat="1" ht="30" x14ac:dyDescent="0.25">
      <c r="A25" s="24" t="s">
        <v>1118</v>
      </c>
      <c r="B25" s="22" t="s">
        <v>2073</v>
      </c>
      <c r="C25" s="6">
        <v>7.1</v>
      </c>
      <c r="D25" s="6">
        <v>4.9000000000000004</v>
      </c>
      <c r="E25" s="6">
        <v>3.7</v>
      </c>
      <c r="F25" s="6">
        <v>2.5000000000000001E-2</v>
      </c>
      <c r="G25" s="5"/>
      <c r="H25" s="7" t="s">
        <v>61</v>
      </c>
      <c r="I25" s="5" t="s">
        <v>62</v>
      </c>
      <c r="J25" s="5" t="s">
        <v>2068</v>
      </c>
      <c r="K25" s="5"/>
      <c r="L25" s="5"/>
      <c r="M25" s="5" t="str">
        <f t="shared" si="2"/>
        <v>PACKAGE_SEALED</v>
      </c>
      <c r="N25" s="5" t="str">
        <f t="shared" si="3"/>
        <v>packages_master</v>
      </c>
      <c r="O25" s="24">
        <v>200</v>
      </c>
      <c r="P25" s="24" t="s">
        <v>98</v>
      </c>
      <c r="Q25" s="24" t="s">
        <v>99</v>
      </c>
      <c r="R25" s="24"/>
      <c r="S25" s="24" t="s">
        <v>100</v>
      </c>
    </row>
    <row r="26" spans="1:19" s="23" customFormat="1" ht="30" x14ac:dyDescent="0.25">
      <c r="A26" s="24" t="s">
        <v>1120</v>
      </c>
      <c r="B26" s="38" t="s">
        <v>2074</v>
      </c>
      <c r="C26" s="6">
        <v>7.1</v>
      </c>
      <c r="D26" s="6">
        <v>4.9000000000000004</v>
      </c>
      <c r="E26" s="6">
        <v>3.7</v>
      </c>
      <c r="F26" s="6">
        <v>2.5000000000000001E-2</v>
      </c>
      <c r="G26" s="5"/>
      <c r="H26" s="7" t="s">
        <v>61</v>
      </c>
      <c r="I26" s="5" t="s">
        <v>62</v>
      </c>
      <c r="J26" s="5" t="s">
        <v>2068</v>
      </c>
      <c r="K26" s="5"/>
      <c r="L26" s="5"/>
      <c r="M26" s="5" t="str">
        <f t="shared" si="2"/>
        <v>PACKAGE_SEALED</v>
      </c>
      <c r="N26" s="5" t="str">
        <f t="shared" si="3"/>
        <v>packages_master</v>
      </c>
      <c r="O26" s="24">
        <v>200</v>
      </c>
      <c r="P26" s="24" t="s">
        <v>98</v>
      </c>
      <c r="Q26" s="24" t="s">
        <v>99</v>
      </c>
      <c r="R26" s="24"/>
      <c r="S26" s="24" t="s">
        <v>100</v>
      </c>
    </row>
    <row r="27" spans="1:19" x14ac:dyDescent="0.25">
      <c r="A27" s="5" t="s">
        <v>102</v>
      </c>
      <c r="B27" s="5" t="s">
        <v>103</v>
      </c>
      <c r="C27" s="8">
        <v>7</v>
      </c>
      <c r="D27" s="6">
        <v>4.5999999999999996</v>
      </c>
      <c r="E27" s="8">
        <v>3</v>
      </c>
      <c r="F27" s="6">
        <v>2.8000000000000001E-2</v>
      </c>
      <c r="G27" s="5"/>
      <c r="H27" s="7" t="s">
        <v>61</v>
      </c>
      <c r="I27" s="5" t="s">
        <v>62</v>
      </c>
      <c r="J27" s="5" t="str">
        <f>IF(COUNTIF(packages_master!$A:$A,A27)&gt;0,"Y","N")</f>
        <v>N</v>
      </c>
      <c r="K27" s="5" t="str">
        <f t="shared" si="0"/>
        <v/>
      </c>
      <c r="L27" s="5" t="str">
        <f t="shared" si="1"/>
        <v/>
      </c>
      <c r="M27" s="5" t="str">
        <f t="shared" si="2"/>
        <v>NORMAL</v>
      </c>
      <c r="N27" s="5" t="str">
        <f t="shared" si="3"/>
        <v/>
      </c>
      <c r="O27" s="12"/>
      <c r="P27" s="12"/>
      <c r="Q27" s="12"/>
      <c r="R27" s="12" t="s">
        <v>63</v>
      </c>
      <c r="S27" s="12"/>
    </row>
    <row r="28" spans="1:19" x14ac:dyDescent="0.25">
      <c r="A28" s="5" t="s">
        <v>104</v>
      </c>
      <c r="B28" s="5" t="s">
        <v>105</v>
      </c>
      <c r="C28" s="8">
        <v>7</v>
      </c>
      <c r="D28" s="6">
        <v>4.5999999999999996</v>
      </c>
      <c r="E28" s="8">
        <v>3</v>
      </c>
      <c r="F28" s="6">
        <v>2.1000000000000001E-2</v>
      </c>
      <c r="G28" s="5"/>
      <c r="H28" s="7" t="s">
        <v>61</v>
      </c>
      <c r="I28" s="5" t="s">
        <v>62</v>
      </c>
      <c r="J28" s="5" t="str">
        <f>IF(COUNTIF(packages_master!$A:$A,A28)&gt;0,"Y","N")</f>
        <v>N</v>
      </c>
      <c r="K28" s="5" t="str">
        <f t="shared" si="0"/>
        <v/>
      </c>
      <c r="L28" s="5" t="str">
        <f t="shared" si="1"/>
        <v/>
      </c>
      <c r="M28" s="5" t="str">
        <f t="shared" si="2"/>
        <v>NORMAL</v>
      </c>
      <c r="N28" s="5" t="str">
        <f t="shared" si="3"/>
        <v/>
      </c>
      <c r="O28" s="12"/>
      <c r="P28" s="12"/>
      <c r="Q28" s="12"/>
      <c r="R28" s="12" t="s">
        <v>63</v>
      </c>
      <c r="S28" s="12"/>
    </row>
    <row r="29" spans="1:19" x14ac:dyDescent="0.25">
      <c r="A29" s="5" t="s">
        <v>106</v>
      </c>
      <c r="B29" s="5" t="s">
        <v>107</v>
      </c>
      <c r="C29" s="8">
        <v>7</v>
      </c>
      <c r="D29" s="6">
        <v>3.5</v>
      </c>
      <c r="E29" s="8">
        <v>3</v>
      </c>
      <c r="F29" s="6">
        <v>2.1999999999999999E-2</v>
      </c>
      <c r="G29" s="5"/>
      <c r="H29" s="7" t="s">
        <v>61</v>
      </c>
      <c r="I29" s="5" t="s">
        <v>62</v>
      </c>
      <c r="J29" s="5" t="str">
        <f>IF(COUNTIF(packages_master!$A:$A,A29)&gt;0,"Y","N")</f>
        <v>N</v>
      </c>
      <c r="K29" s="5" t="str">
        <f t="shared" si="0"/>
        <v/>
      </c>
      <c r="L29" s="5" t="str">
        <f t="shared" si="1"/>
        <v/>
      </c>
      <c r="M29" s="5" t="str">
        <f t="shared" si="2"/>
        <v>NORMAL</v>
      </c>
      <c r="N29" s="5" t="str">
        <f t="shared" si="3"/>
        <v/>
      </c>
      <c r="O29" s="12"/>
      <c r="P29" s="12"/>
      <c r="Q29" s="12"/>
      <c r="R29" s="12" t="s">
        <v>63</v>
      </c>
      <c r="S29" s="12"/>
    </row>
    <row r="30" spans="1:19" x14ac:dyDescent="0.25">
      <c r="A30" s="5" t="s">
        <v>108</v>
      </c>
      <c r="B30" s="5" t="s">
        <v>109</v>
      </c>
      <c r="C30" s="6">
        <v>8.6999999999999993</v>
      </c>
      <c r="D30" s="6">
        <v>6.2</v>
      </c>
      <c r="E30" s="6">
        <v>3.3</v>
      </c>
      <c r="F30" s="6">
        <v>2.7E-2</v>
      </c>
      <c r="G30" s="5"/>
      <c r="H30" s="7" t="s">
        <v>61</v>
      </c>
      <c r="I30" s="5" t="s">
        <v>62</v>
      </c>
      <c r="J30" s="5" t="str">
        <f>IF(COUNTIF(packages_master!$A:$A,A30)&gt;0,"Y","N")</f>
        <v>N</v>
      </c>
      <c r="K30" s="5" t="str">
        <f t="shared" si="0"/>
        <v/>
      </c>
      <c r="L30" s="5" t="str">
        <f t="shared" si="1"/>
        <v/>
      </c>
      <c r="M30" s="5" t="str">
        <f t="shared" si="2"/>
        <v>NORMAL</v>
      </c>
      <c r="N30" s="5" t="str">
        <f t="shared" si="3"/>
        <v/>
      </c>
      <c r="O30" s="12"/>
      <c r="P30" s="12"/>
      <c r="Q30" s="12"/>
      <c r="R30" s="12" t="s">
        <v>63</v>
      </c>
      <c r="S30" s="12"/>
    </row>
    <row r="31" spans="1:19" x14ac:dyDescent="0.25">
      <c r="A31" s="5" t="s">
        <v>110</v>
      </c>
      <c r="B31" s="5" t="s">
        <v>111</v>
      </c>
      <c r="C31" s="8">
        <v>7</v>
      </c>
      <c r="D31" s="6">
        <v>4.5999999999999996</v>
      </c>
      <c r="E31" s="8">
        <v>3</v>
      </c>
      <c r="F31" s="6">
        <v>2.5000000000000001E-2</v>
      </c>
      <c r="G31" s="5"/>
      <c r="H31" s="7" t="s">
        <v>61</v>
      </c>
      <c r="I31" s="5" t="s">
        <v>62</v>
      </c>
      <c r="J31" s="5" t="str">
        <f>IF(COUNTIF(packages_master!$A:$A,A31)&gt;0,"Y","N")</f>
        <v>N</v>
      </c>
      <c r="K31" s="5" t="str">
        <f t="shared" si="0"/>
        <v/>
      </c>
      <c r="L31" s="5" t="str">
        <f t="shared" si="1"/>
        <v/>
      </c>
      <c r="M31" s="5" t="str">
        <f t="shared" si="2"/>
        <v>NORMAL</v>
      </c>
      <c r="N31" s="5" t="str">
        <f t="shared" si="3"/>
        <v/>
      </c>
      <c r="O31" s="12"/>
      <c r="P31" s="12"/>
      <c r="Q31" s="12"/>
      <c r="R31" s="12" t="s">
        <v>63</v>
      </c>
      <c r="S31" s="12"/>
    </row>
    <row r="32" spans="1:19" x14ac:dyDescent="0.25">
      <c r="A32" s="5" t="s">
        <v>112</v>
      </c>
      <c r="B32" s="5" t="s">
        <v>113</v>
      </c>
      <c r="C32" s="6">
        <v>19.100000000000001</v>
      </c>
      <c r="D32" s="6">
        <v>6.9</v>
      </c>
      <c r="E32" s="6">
        <v>2.6</v>
      </c>
      <c r="F32" s="6">
        <v>4.7E-2</v>
      </c>
      <c r="G32" s="5"/>
      <c r="H32" s="7" t="s">
        <v>61</v>
      </c>
      <c r="I32" s="5" t="s">
        <v>62</v>
      </c>
      <c r="J32" s="5" t="str">
        <f>IF(COUNTIF(packages_master!$A:$A,A32)&gt;0,"Y","N")</f>
        <v>N</v>
      </c>
      <c r="K32" s="5" t="str">
        <f t="shared" si="0"/>
        <v/>
      </c>
      <c r="L32" s="5" t="str">
        <f t="shared" si="1"/>
        <v/>
      </c>
      <c r="M32" s="5" t="str">
        <f t="shared" si="2"/>
        <v>NORMAL</v>
      </c>
      <c r="N32" s="5" t="str">
        <f t="shared" si="3"/>
        <v/>
      </c>
      <c r="O32" s="12"/>
      <c r="P32" s="12"/>
      <c r="Q32" s="12"/>
      <c r="R32" s="12" t="s">
        <v>63</v>
      </c>
      <c r="S32" s="12"/>
    </row>
    <row r="33" spans="1:19" x14ac:dyDescent="0.25">
      <c r="A33" s="5" t="s">
        <v>114</v>
      </c>
      <c r="B33" s="5" t="s">
        <v>115</v>
      </c>
      <c r="C33" s="8">
        <v>9</v>
      </c>
      <c r="D33" s="6">
        <v>4.7</v>
      </c>
      <c r="E33" s="6">
        <v>4.7</v>
      </c>
      <c r="F33" s="6">
        <v>0.122</v>
      </c>
      <c r="G33" s="5"/>
      <c r="H33" s="7" t="s">
        <v>61</v>
      </c>
      <c r="I33" s="5" t="s">
        <v>62</v>
      </c>
      <c r="J33" s="5" t="str">
        <f>IF(COUNTIF(packages_master!$A:$A,A33)&gt;0,"Y","N")</f>
        <v>N</v>
      </c>
      <c r="K33" s="5" t="str">
        <f t="shared" si="0"/>
        <v/>
      </c>
      <c r="L33" s="5" t="str">
        <f t="shared" si="1"/>
        <v/>
      </c>
      <c r="M33" s="5" t="str">
        <f t="shared" si="2"/>
        <v>NORMAL</v>
      </c>
      <c r="N33" s="5" t="str">
        <f t="shared" si="3"/>
        <v/>
      </c>
      <c r="O33" s="12"/>
      <c r="P33" s="12"/>
      <c r="Q33" s="12"/>
      <c r="R33" s="12" t="s">
        <v>63</v>
      </c>
      <c r="S33" s="12"/>
    </row>
    <row r="34" spans="1:19" x14ac:dyDescent="0.25">
      <c r="A34" s="5" t="s">
        <v>116</v>
      </c>
      <c r="B34" s="5" t="s">
        <v>117</v>
      </c>
      <c r="C34" s="8">
        <v>9</v>
      </c>
      <c r="D34" s="6">
        <v>4.9000000000000004</v>
      </c>
      <c r="E34" s="6">
        <v>4.8</v>
      </c>
      <c r="F34" s="6">
        <v>0.12</v>
      </c>
      <c r="G34" s="5"/>
      <c r="H34" s="7" t="s">
        <v>61</v>
      </c>
      <c r="I34" s="5" t="s">
        <v>62</v>
      </c>
      <c r="J34" s="5" t="str">
        <f>IF(COUNTIF(packages_master!$A:$A,A34)&gt;0,"Y","N")</f>
        <v>N</v>
      </c>
      <c r="K34" s="5" t="str">
        <f t="shared" si="0"/>
        <v/>
      </c>
      <c r="L34" s="5" t="str">
        <f t="shared" si="1"/>
        <v/>
      </c>
      <c r="M34" s="5" t="str">
        <f t="shared" si="2"/>
        <v>NORMAL</v>
      </c>
      <c r="N34" s="5" t="str">
        <f t="shared" si="3"/>
        <v/>
      </c>
      <c r="O34" s="12"/>
      <c r="P34" s="12"/>
      <c r="Q34" s="12"/>
      <c r="R34" s="12" t="s">
        <v>63</v>
      </c>
      <c r="S34" s="12"/>
    </row>
    <row r="35" spans="1:19" x14ac:dyDescent="0.25">
      <c r="A35" s="5" t="s">
        <v>118</v>
      </c>
      <c r="B35" s="5" t="s">
        <v>119</v>
      </c>
      <c r="C35" s="8">
        <v>30</v>
      </c>
      <c r="D35" s="6">
        <v>17.2</v>
      </c>
      <c r="E35" s="6">
        <v>3.3</v>
      </c>
      <c r="F35" s="6">
        <v>0.38300000000000001</v>
      </c>
      <c r="G35" s="5"/>
      <c r="H35" s="7" t="s">
        <v>61</v>
      </c>
      <c r="I35" s="5" t="s">
        <v>62</v>
      </c>
      <c r="J35" s="5" t="str">
        <f>IF(COUNTIF(packages_master!$A:$A,A35)&gt;0,"Y","N")</f>
        <v>N</v>
      </c>
      <c r="K35" s="5" t="str">
        <f t="shared" si="0"/>
        <v/>
      </c>
      <c r="L35" s="5" t="str">
        <f t="shared" si="1"/>
        <v/>
      </c>
      <c r="M35" s="5" t="str">
        <f t="shared" si="2"/>
        <v>NORMAL</v>
      </c>
      <c r="N35" s="5" t="str">
        <f t="shared" si="3"/>
        <v/>
      </c>
      <c r="O35" s="12"/>
      <c r="P35" s="12"/>
      <c r="Q35" s="12"/>
      <c r="R35" s="12" t="s">
        <v>63</v>
      </c>
      <c r="S35" s="12"/>
    </row>
    <row r="36" spans="1:19" x14ac:dyDescent="0.25">
      <c r="A36" s="5" t="s">
        <v>120</v>
      </c>
      <c r="B36" s="5" t="s">
        <v>121</v>
      </c>
      <c r="C36" s="8">
        <v>10</v>
      </c>
      <c r="D36" s="8">
        <v>10</v>
      </c>
      <c r="E36" s="6">
        <v>6.7</v>
      </c>
      <c r="F36" s="6">
        <v>0.115</v>
      </c>
      <c r="G36" s="5"/>
      <c r="H36" s="7" t="s">
        <v>61</v>
      </c>
      <c r="I36" s="5" t="s">
        <v>62</v>
      </c>
      <c r="J36" s="5" t="str">
        <f>IF(COUNTIF(packages_master!$A:$A,A36)&gt;0,"Y","N")</f>
        <v>N</v>
      </c>
      <c r="K36" s="5" t="str">
        <f t="shared" si="0"/>
        <v/>
      </c>
      <c r="L36" s="5" t="str">
        <f t="shared" si="1"/>
        <v/>
      </c>
      <c r="M36" s="5" t="str">
        <f t="shared" si="2"/>
        <v>NORMAL</v>
      </c>
      <c r="N36" s="5" t="str">
        <f t="shared" si="3"/>
        <v/>
      </c>
      <c r="O36" s="12"/>
      <c r="P36" s="12"/>
      <c r="Q36" s="12"/>
      <c r="R36" s="12" t="s">
        <v>63</v>
      </c>
      <c r="S36" s="12"/>
    </row>
    <row r="37" spans="1:19" x14ac:dyDescent="0.25">
      <c r="A37" s="5" t="s">
        <v>122</v>
      </c>
      <c r="B37" s="5" t="s">
        <v>123</v>
      </c>
      <c r="C37" s="6">
        <v>17.5</v>
      </c>
      <c r="D37" s="6">
        <v>7.2</v>
      </c>
      <c r="E37" s="6">
        <v>2.1</v>
      </c>
      <c r="F37" s="6">
        <v>3.9E-2</v>
      </c>
      <c r="G37" s="5"/>
      <c r="H37" s="7" t="s">
        <v>61</v>
      </c>
      <c r="I37" s="5" t="s">
        <v>62</v>
      </c>
      <c r="J37" s="5" t="str">
        <f>IF(COUNTIF(packages_master!$A:$A,A37)&gt;0,"Y","N")</f>
        <v>N</v>
      </c>
      <c r="K37" s="5" t="str">
        <f t="shared" si="0"/>
        <v/>
      </c>
      <c r="L37" s="5" t="str">
        <f t="shared" si="1"/>
        <v/>
      </c>
      <c r="M37" s="5" t="str">
        <f t="shared" si="2"/>
        <v>NORMAL</v>
      </c>
      <c r="N37" s="5" t="str">
        <f t="shared" si="3"/>
        <v/>
      </c>
      <c r="O37" s="12"/>
      <c r="P37" s="12"/>
      <c r="Q37" s="12"/>
      <c r="R37" s="12" t="s">
        <v>63</v>
      </c>
      <c r="S37" s="12"/>
    </row>
    <row r="38" spans="1:19" x14ac:dyDescent="0.25">
      <c r="A38" s="5" t="s">
        <v>124</v>
      </c>
      <c r="B38" s="5" t="s">
        <v>125</v>
      </c>
      <c r="C38" s="6">
        <v>17.5</v>
      </c>
      <c r="D38" s="6">
        <v>7.2</v>
      </c>
      <c r="E38" s="6">
        <v>2.1</v>
      </c>
      <c r="F38" s="6">
        <v>3.9E-2</v>
      </c>
      <c r="G38" s="5"/>
      <c r="H38" s="7" t="s">
        <v>61</v>
      </c>
      <c r="I38" s="5" t="s">
        <v>62</v>
      </c>
      <c r="J38" s="5" t="str">
        <f>IF(COUNTIF(packages_master!$A:$A,A38)&gt;0,"Y","N")</f>
        <v>N</v>
      </c>
      <c r="K38" s="5" t="str">
        <f t="shared" si="0"/>
        <v/>
      </c>
      <c r="L38" s="5" t="str">
        <f t="shared" si="1"/>
        <v/>
      </c>
      <c r="M38" s="5" t="str">
        <f t="shared" si="2"/>
        <v>NORMAL</v>
      </c>
      <c r="N38" s="5" t="str">
        <f t="shared" si="3"/>
        <v/>
      </c>
      <c r="O38" s="12"/>
      <c r="P38" s="12"/>
      <c r="Q38" s="12"/>
      <c r="R38" s="12" t="s">
        <v>63</v>
      </c>
      <c r="S38" s="12"/>
    </row>
    <row r="39" spans="1:19" x14ac:dyDescent="0.25">
      <c r="A39" s="5" t="s">
        <v>126</v>
      </c>
      <c r="B39" s="5" t="s">
        <v>127</v>
      </c>
      <c r="C39" s="6">
        <v>17.5</v>
      </c>
      <c r="D39" s="6">
        <v>7.2</v>
      </c>
      <c r="E39" s="6">
        <v>2.1</v>
      </c>
      <c r="F39" s="6">
        <v>3.9E-2</v>
      </c>
      <c r="G39" s="5"/>
      <c r="H39" s="7" t="s">
        <v>61</v>
      </c>
      <c r="I39" s="5" t="s">
        <v>62</v>
      </c>
      <c r="J39" s="5" t="str">
        <f>IF(COUNTIF(packages_master!$A:$A,A39)&gt;0,"Y","N")</f>
        <v>N</v>
      </c>
      <c r="K39" s="5" t="str">
        <f t="shared" si="0"/>
        <v/>
      </c>
      <c r="L39" s="5" t="str">
        <f t="shared" si="1"/>
        <v/>
      </c>
      <c r="M39" s="5" t="str">
        <f t="shared" si="2"/>
        <v>NORMAL</v>
      </c>
      <c r="N39" s="5" t="str">
        <f t="shared" si="3"/>
        <v/>
      </c>
      <c r="O39" s="12"/>
      <c r="P39" s="12"/>
      <c r="Q39" s="12"/>
      <c r="R39" s="12" t="s">
        <v>63</v>
      </c>
      <c r="S39" s="12"/>
    </row>
    <row r="40" spans="1:19" x14ac:dyDescent="0.25">
      <c r="A40" s="5" t="s">
        <v>128</v>
      </c>
      <c r="B40" s="5" t="s">
        <v>129</v>
      </c>
      <c r="C40" s="6">
        <v>17.5</v>
      </c>
      <c r="D40" s="6">
        <v>7.2</v>
      </c>
      <c r="E40" s="6">
        <v>2.1</v>
      </c>
      <c r="F40" s="6">
        <v>3.9E-2</v>
      </c>
      <c r="G40" s="5"/>
      <c r="H40" s="7" t="s">
        <v>61</v>
      </c>
      <c r="I40" s="5" t="s">
        <v>62</v>
      </c>
      <c r="J40" s="5" t="str">
        <f>IF(COUNTIF(packages_master!$A:$A,A40)&gt;0,"Y","N")</f>
        <v>N</v>
      </c>
      <c r="K40" s="5" t="str">
        <f t="shared" si="0"/>
        <v/>
      </c>
      <c r="L40" s="5" t="str">
        <f t="shared" si="1"/>
        <v/>
      </c>
      <c r="M40" s="5" t="str">
        <f t="shared" si="2"/>
        <v>NORMAL</v>
      </c>
      <c r="N40" s="5" t="str">
        <f t="shared" si="3"/>
        <v/>
      </c>
      <c r="O40" s="12"/>
      <c r="P40" s="12"/>
      <c r="Q40" s="12"/>
      <c r="R40" s="12" t="s">
        <v>63</v>
      </c>
      <c r="S40" s="12"/>
    </row>
    <row r="41" spans="1:19" x14ac:dyDescent="0.25">
      <c r="A41" s="5" t="s">
        <v>130</v>
      </c>
      <c r="B41" s="5" t="s">
        <v>131</v>
      </c>
      <c r="C41" s="6">
        <v>17.5</v>
      </c>
      <c r="D41" s="6">
        <v>6.9</v>
      </c>
      <c r="E41" s="6">
        <v>2.9</v>
      </c>
      <c r="F41" s="6">
        <v>3.9E-2</v>
      </c>
      <c r="G41" s="5"/>
      <c r="H41" s="7" t="s">
        <v>61</v>
      </c>
      <c r="I41" s="5" t="s">
        <v>62</v>
      </c>
      <c r="J41" s="5" t="str">
        <f>IF(COUNTIF(packages_master!$A:$A,A41)&gt;0,"Y","N")</f>
        <v>N</v>
      </c>
      <c r="K41" s="5" t="str">
        <f t="shared" si="0"/>
        <v/>
      </c>
      <c r="L41" s="5" t="str">
        <f t="shared" si="1"/>
        <v/>
      </c>
      <c r="M41" s="5" t="str">
        <f t="shared" si="2"/>
        <v>NORMAL</v>
      </c>
      <c r="N41" s="5" t="str">
        <f t="shared" si="3"/>
        <v/>
      </c>
      <c r="O41" s="12"/>
      <c r="P41" s="12"/>
      <c r="Q41" s="12"/>
      <c r="R41" s="12" t="s">
        <v>63</v>
      </c>
      <c r="S41" s="12"/>
    </row>
    <row r="42" spans="1:19" x14ac:dyDescent="0.25">
      <c r="A42" s="5" t="s">
        <v>132</v>
      </c>
      <c r="B42" s="5" t="s">
        <v>133</v>
      </c>
      <c r="C42" s="6">
        <v>17.5</v>
      </c>
      <c r="D42" s="6">
        <v>6.9</v>
      </c>
      <c r="E42" s="6">
        <v>2.9</v>
      </c>
      <c r="F42" s="6">
        <v>0.04</v>
      </c>
      <c r="G42" s="5"/>
      <c r="H42" s="7" t="s">
        <v>61</v>
      </c>
      <c r="I42" s="5" t="s">
        <v>62</v>
      </c>
      <c r="J42" s="5" t="str">
        <f>IF(COUNTIF(packages_master!$A:$A,A42)&gt;0,"Y","N")</f>
        <v>N</v>
      </c>
      <c r="K42" s="5" t="str">
        <f t="shared" si="0"/>
        <v/>
      </c>
      <c r="L42" s="5" t="str">
        <f t="shared" si="1"/>
        <v/>
      </c>
      <c r="M42" s="5" t="str">
        <f t="shared" si="2"/>
        <v>NORMAL</v>
      </c>
      <c r="N42" s="5" t="str">
        <f t="shared" si="3"/>
        <v/>
      </c>
      <c r="O42" s="12"/>
      <c r="P42" s="12"/>
      <c r="Q42" s="12"/>
      <c r="R42" s="12" t="s">
        <v>63</v>
      </c>
      <c r="S42" s="12"/>
    </row>
    <row r="43" spans="1:19" x14ac:dyDescent="0.25">
      <c r="A43" s="5" t="s">
        <v>134</v>
      </c>
      <c r="B43" s="5" t="s">
        <v>135</v>
      </c>
      <c r="C43" s="6">
        <v>20.5</v>
      </c>
      <c r="D43" s="6">
        <v>8.5</v>
      </c>
      <c r="E43" s="8">
        <v>3</v>
      </c>
      <c r="F43" s="6">
        <v>6.9000000000000006E-2</v>
      </c>
      <c r="G43" s="5"/>
      <c r="H43" s="7" t="s">
        <v>61</v>
      </c>
      <c r="I43" s="5" t="s">
        <v>62</v>
      </c>
      <c r="J43" s="5" t="str">
        <f>IF(COUNTIF(packages_master!$A:$A,A43)&gt;0,"Y","N")</f>
        <v>N</v>
      </c>
      <c r="K43" s="5" t="str">
        <f t="shared" si="0"/>
        <v/>
      </c>
      <c r="L43" s="5" t="str">
        <f t="shared" si="1"/>
        <v/>
      </c>
      <c r="M43" s="5" t="str">
        <f t="shared" si="2"/>
        <v>NORMAL</v>
      </c>
      <c r="N43" s="5" t="str">
        <f t="shared" si="3"/>
        <v/>
      </c>
      <c r="O43" s="12"/>
      <c r="P43" s="12"/>
      <c r="Q43" s="12"/>
      <c r="R43" s="12" t="s">
        <v>63</v>
      </c>
      <c r="S43" s="12"/>
    </row>
    <row r="44" spans="1:19" x14ac:dyDescent="0.25">
      <c r="A44" s="5" t="s">
        <v>136</v>
      </c>
      <c r="B44" s="5" t="s">
        <v>137</v>
      </c>
      <c r="C44" s="8">
        <v>17</v>
      </c>
      <c r="D44" s="6">
        <v>14.7</v>
      </c>
      <c r="E44" s="6">
        <v>3.4</v>
      </c>
      <c r="F44" s="6">
        <v>0.26300000000000001</v>
      </c>
      <c r="G44" s="5"/>
      <c r="H44" s="7" t="s">
        <v>61</v>
      </c>
      <c r="I44" s="5" t="s">
        <v>62</v>
      </c>
      <c r="J44" s="5" t="str">
        <f>IF(COUNTIF(packages_master!$A:$A,A44)&gt;0,"Y","N")</f>
        <v>N</v>
      </c>
      <c r="K44" s="5" t="str">
        <f t="shared" si="0"/>
        <v/>
      </c>
      <c r="L44" s="5" t="str">
        <f t="shared" si="1"/>
        <v/>
      </c>
      <c r="M44" s="5" t="str">
        <f t="shared" si="2"/>
        <v>NORMAL</v>
      </c>
      <c r="N44" s="5" t="str">
        <f t="shared" si="3"/>
        <v/>
      </c>
      <c r="O44" s="12"/>
      <c r="P44" s="12"/>
      <c r="Q44" s="12"/>
      <c r="R44" s="12" t="s">
        <v>63</v>
      </c>
      <c r="S44" s="12"/>
    </row>
    <row r="45" spans="1:19" x14ac:dyDescent="0.25">
      <c r="A45" s="5" t="s">
        <v>138</v>
      </c>
      <c r="B45" s="5" t="s">
        <v>139</v>
      </c>
      <c r="C45" s="6">
        <v>17.2</v>
      </c>
      <c r="D45" s="6">
        <v>15.8</v>
      </c>
      <c r="E45" s="6">
        <v>3.2</v>
      </c>
      <c r="F45" s="6">
        <v>0.379</v>
      </c>
      <c r="G45" s="5"/>
      <c r="H45" s="7" t="s">
        <v>61</v>
      </c>
      <c r="I45" s="5" t="s">
        <v>62</v>
      </c>
      <c r="J45" s="5" t="str">
        <f>IF(COUNTIF(packages_master!$A:$A,A45)&gt;0,"Y","N")</f>
        <v>N</v>
      </c>
      <c r="K45" s="5" t="str">
        <f t="shared" si="0"/>
        <v/>
      </c>
      <c r="L45" s="5" t="str">
        <f t="shared" si="1"/>
        <v/>
      </c>
      <c r="M45" s="5" t="str">
        <f t="shared" si="2"/>
        <v>NORMAL</v>
      </c>
      <c r="N45" s="5" t="str">
        <f t="shared" si="3"/>
        <v/>
      </c>
      <c r="O45" s="12"/>
      <c r="P45" s="12"/>
      <c r="Q45" s="12"/>
      <c r="R45" s="12" t="s">
        <v>63</v>
      </c>
      <c r="S45" s="12"/>
    </row>
    <row r="46" spans="1:19" x14ac:dyDescent="0.25">
      <c r="A46" s="5" t="s">
        <v>140</v>
      </c>
      <c r="B46" s="5" t="s">
        <v>141</v>
      </c>
      <c r="C46" s="8">
        <v>14</v>
      </c>
      <c r="D46" s="6">
        <v>3.6</v>
      </c>
      <c r="E46" s="6">
        <v>2.9</v>
      </c>
      <c r="F46" s="6">
        <v>0.05</v>
      </c>
      <c r="G46" s="5"/>
      <c r="H46" s="7" t="s">
        <v>61</v>
      </c>
      <c r="I46" s="5" t="s">
        <v>62</v>
      </c>
      <c r="J46" s="5" t="str">
        <f>IF(COUNTIF(packages_master!$A:$A,A46)&gt;0,"Y","N")</f>
        <v>N</v>
      </c>
      <c r="K46" s="5" t="str">
        <f t="shared" si="0"/>
        <v/>
      </c>
      <c r="L46" s="5" t="str">
        <f t="shared" si="1"/>
        <v/>
      </c>
      <c r="M46" s="5" t="str">
        <f t="shared" si="2"/>
        <v>NORMAL</v>
      </c>
      <c r="N46" s="5" t="str">
        <f t="shared" si="3"/>
        <v/>
      </c>
      <c r="O46" s="12"/>
      <c r="P46" s="12"/>
      <c r="Q46" s="12"/>
      <c r="R46" s="12" t="s">
        <v>63</v>
      </c>
      <c r="S46" s="12"/>
    </row>
    <row r="47" spans="1:19" x14ac:dyDescent="0.25">
      <c r="A47" s="5" t="s">
        <v>142</v>
      </c>
      <c r="B47" s="5" t="s">
        <v>143</v>
      </c>
      <c r="C47" s="6">
        <v>1.8</v>
      </c>
      <c r="D47" s="6">
        <v>4.8</v>
      </c>
      <c r="E47" s="6">
        <v>4.8</v>
      </c>
      <c r="F47" s="6">
        <v>0.16</v>
      </c>
      <c r="G47" s="5"/>
      <c r="H47" s="7" t="s">
        <v>61</v>
      </c>
      <c r="I47" s="5" t="s">
        <v>62</v>
      </c>
      <c r="J47" s="5" t="str">
        <f>IF(COUNTIF(packages_master!$A:$A,A47)&gt;0,"Y","N")</f>
        <v>N</v>
      </c>
      <c r="K47" s="5" t="str">
        <f t="shared" si="0"/>
        <v/>
      </c>
      <c r="L47" s="5" t="str">
        <f t="shared" si="1"/>
        <v/>
      </c>
      <c r="M47" s="5" t="str">
        <f t="shared" si="2"/>
        <v>NORMAL</v>
      </c>
      <c r="N47" s="5" t="str">
        <f t="shared" si="3"/>
        <v/>
      </c>
      <c r="O47" s="12"/>
      <c r="P47" s="12"/>
      <c r="Q47" s="12"/>
      <c r="R47" s="12" t="s">
        <v>63</v>
      </c>
      <c r="S47" s="12"/>
    </row>
    <row r="48" spans="1:19" x14ac:dyDescent="0.25">
      <c r="A48" s="5" t="s">
        <v>144</v>
      </c>
      <c r="B48" s="5" t="s">
        <v>145</v>
      </c>
      <c r="C48" s="8">
        <v>4</v>
      </c>
      <c r="D48" s="6">
        <v>10.7</v>
      </c>
      <c r="E48" s="8">
        <v>4</v>
      </c>
      <c r="F48" s="6">
        <v>0.123</v>
      </c>
      <c r="G48" s="5"/>
      <c r="H48" s="7" t="s">
        <v>61</v>
      </c>
      <c r="I48" s="5" t="s">
        <v>62</v>
      </c>
      <c r="J48" s="5" t="str">
        <f>IF(COUNTIF(packages_master!$A:$A,A48)&gt;0,"Y","N")</f>
        <v>N</v>
      </c>
      <c r="K48" s="5" t="str">
        <f t="shared" si="0"/>
        <v/>
      </c>
      <c r="L48" s="5" t="str">
        <f t="shared" si="1"/>
        <v/>
      </c>
      <c r="M48" s="5" t="str">
        <f t="shared" si="2"/>
        <v>NORMAL</v>
      </c>
      <c r="N48" s="5" t="str">
        <f t="shared" si="3"/>
        <v/>
      </c>
      <c r="O48" s="12"/>
      <c r="P48" s="12"/>
      <c r="Q48" s="12"/>
      <c r="R48" s="12" t="s">
        <v>63</v>
      </c>
      <c r="S48" s="12"/>
    </row>
    <row r="49" spans="1:19" x14ac:dyDescent="0.25">
      <c r="A49" s="5" t="s">
        <v>146</v>
      </c>
      <c r="B49" s="5" t="s">
        <v>147</v>
      </c>
      <c r="C49" s="8">
        <v>4</v>
      </c>
      <c r="D49" s="6">
        <v>10.7</v>
      </c>
      <c r="E49" s="8">
        <v>4</v>
      </c>
      <c r="F49" s="6">
        <v>0.122</v>
      </c>
      <c r="G49" s="5"/>
      <c r="H49" s="7" t="s">
        <v>61</v>
      </c>
      <c r="I49" s="5" t="s">
        <v>62</v>
      </c>
      <c r="J49" s="5" t="str">
        <f>IF(COUNTIF(packages_master!$A:$A,A49)&gt;0,"Y","N")</f>
        <v>N</v>
      </c>
      <c r="K49" s="5" t="str">
        <f t="shared" si="0"/>
        <v/>
      </c>
      <c r="L49" s="5" t="str">
        <f t="shared" si="1"/>
        <v/>
      </c>
      <c r="M49" s="5" t="str">
        <f t="shared" si="2"/>
        <v>NORMAL</v>
      </c>
      <c r="N49" s="5" t="str">
        <f t="shared" si="3"/>
        <v/>
      </c>
      <c r="O49" s="12"/>
      <c r="P49" s="12"/>
      <c r="Q49" s="12"/>
      <c r="R49" s="12" t="s">
        <v>63</v>
      </c>
      <c r="S49" s="12"/>
    </row>
    <row r="50" spans="1:19" x14ac:dyDescent="0.25">
      <c r="A50" s="5" t="s">
        <v>148</v>
      </c>
      <c r="B50" s="5" t="s">
        <v>149</v>
      </c>
      <c r="C50" s="6">
        <v>19.7</v>
      </c>
      <c r="D50" s="6">
        <v>7.1</v>
      </c>
      <c r="E50" s="6">
        <v>5.2</v>
      </c>
      <c r="F50" s="6">
        <v>7.2999999999999995E-2</v>
      </c>
      <c r="G50" s="5"/>
      <c r="H50" s="7" t="s">
        <v>61</v>
      </c>
      <c r="I50" s="5" t="s">
        <v>62</v>
      </c>
      <c r="J50" s="5" t="str">
        <f>IF(COUNTIF(packages_master!$A:$A,A50)&gt;0,"Y","N")</f>
        <v>N</v>
      </c>
      <c r="K50" s="5" t="str">
        <f t="shared" si="0"/>
        <v/>
      </c>
      <c r="L50" s="5" t="str">
        <f t="shared" si="1"/>
        <v/>
      </c>
      <c r="M50" s="5" t="str">
        <f t="shared" si="2"/>
        <v>NORMAL</v>
      </c>
      <c r="N50" s="5" t="str">
        <f t="shared" si="3"/>
        <v/>
      </c>
      <c r="O50" s="12"/>
      <c r="P50" s="12"/>
      <c r="Q50" s="12"/>
      <c r="R50" s="12" t="s">
        <v>63</v>
      </c>
      <c r="S50" s="12"/>
    </row>
    <row r="51" spans="1:19" x14ac:dyDescent="0.25">
      <c r="A51" s="5" t="s">
        <v>150</v>
      </c>
      <c r="B51" s="5" t="s">
        <v>151</v>
      </c>
      <c r="C51" s="6">
        <v>19.5</v>
      </c>
      <c r="D51" s="6">
        <v>7.3</v>
      </c>
      <c r="E51" s="6">
        <v>2.8</v>
      </c>
      <c r="F51" s="6">
        <v>4.3999999999999997E-2</v>
      </c>
      <c r="G51" s="5"/>
      <c r="H51" s="7" t="s">
        <v>61</v>
      </c>
      <c r="I51" s="5" t="s">
        <v>62</v>
      </c>
      <c r="J51" s="5" t="str">
        <f>IF(COUNTIF(packages_master!$A:$A,A51)&gt;0,"Y","N")</f>
        <v>N</v>
      </c>
      <c r="K51" s="5" t="str">
        <f t="shared" si="0"/>
        <v/>
      </c>
      <c r="L51" s="5" t="str">
        <f t="shared" si="1"/>
        <v/>
      </c>
      <c r="M51" s="5" t="str">
        <f t="shared" si="2"/>
        <v>NORMAL</v>
      </c>
      <c r="N51" s="5" t="str">
        <f t="shared" si="3"/>
        <v/>
      </c>
      <c r="O51" s="12"/>
      <c r="P51" s="12"/>
      <c r="Q51" s="12"/>
      <c r="R51" s="12" t="s">
        <v>63</v>
      </c>
      <c r="S51" s="12"/>
    </row>
    <row r="52" spans="1:19" x14ac:dyDescent="0.25">
      <c r="A52" s="5" t="s">
        <v>152</v>
      </c>
      <c r="B52" s="5" t="s">
        <v>153</v>
      </c>
      <c r="C52" s="6">
        <v>19.5</v>
      </c>
      <c r="D52" s="6">
        <v>7.3</v>
      </c>
      <c r="E52" s="6">
        <v>2.8</v>
      </c>
      <c r="F52" s="6">
        <v>4.2999999999999997E-2</v>
      </c>
      <c r="G52" s="5"/>
      <c r="H52" s="7" t="s">
        <v>61</v>
      </c>
      <c r="I52" s="5" t="s">
        <v>62</v>
      </c>
      <c r="J52" s="5" t="str">
        <f>IF(COUNTIF(packages_master!$A:$A,A52)&gt;0,"Y","N")</f>
        <v>N</v>
      </c>
      <c r="K52" s="5" t="str">
        <f t="shared" si="0"/>
        <v/>
      </c>
      <c r="L52" s="5" t="str">
        <f t="shared" si="1"/>
        <v/>
      </c>
      <c r="M52" s="5" t="str">
        <f t="shared" si="2"/>
        <v>NORMAL</v>
      </c>
      <c r="N52" s="5" t="str">
        <f t="shared" si="3"/>
        <v/>
      </c>
      <c r="O52" s="12"/>
      <c r="P52" s="12"/>
      <c r="Q52" s="12"/>
      <c r="R52" s="12" t="s">
        <v>63</v>
      </c>
      <c r="S52" s="12"/>
    </row>
    <row r="53" spans="1:19" x14ac:dyDescent="0.25">
      <c r="A53" s="5" t="s">
        <v>154</v>
      </c>
      <c r="B53" s="5" t="s">
        <v>155</v>
      </c>
      <c r="C53" s="6">
        <v>19.5</v>
      </c>
      <c r="D53" s="6">
        <v>7.2</v>
      </c>
      <c r="E53" s="6">
        <v>2.8</v>
      </c>
      <c r="F53" s="6">
        <v>4.7E-2</v>
      </c>
      <c r="G53" s="5"/>
      <c r="H53" s="7" t="s">
        <v>61</v>
      </c>
      <c r="I53" s="5" t="s">
        <v>62</v>
      </c>
      <c r="J53" s="5" t="str">
        <f>IF(COUNTIF(packages_master!$A:$A,A53)&gt;0,"Y","N")</f>
        <v>N</v>
      </c>
      <c r="K53" s="5" t="str">
        <f t="shared" si="0"/>
        <v/>
      </c>
      <c r="L53" s="5" t="str">
        <f t="shared" si="1"/>
        <v/>
      </c>
      <c r="M53" s="5" t="str">
        <f t="shared" si="2"/>
        <v>NORMAL</v>
      </c>
      <c r="N53" s="5" t="str">
        <f t="shared" si="3"/>
        <v/>
      </c>
      <c r="O53" s="12"/>
      <c r="P53" s="12"/>
      <c r="Q53" s="12"/>
      <c r="R53" s="12" t="s">
        <v>63</v>
      </c>
      <c r="S53" s="12"/>
    </row>
    <row r="54" spans="1:19" x14ac:dyDescent="0.25">
      <c r="A54" s="5" t="s">
        <v>156</v>
      </c>
      <c r="B54" s="5" t="s">
        <v>157</v>
      </c>
      <c r="C54" s="6">
        <v>19.5</v>
      </c>
      <c r="D54" s="6">
        <v>7.2</v>
      </c>
      <c r="E54" s="6">
        <v>2.8</v>
      </c>
      <c r="F54" s="6">
        <v>4.7E-2</v>
      </c>
      <c r="G54" s="5"/>
      <c r="H54" s="7" t="s">
        <v>61</v>
      </c>
      <c r="I54" s="5" t="s">
        <v>62</v>
      </c>
      <c r="J54" s="5" t="str">
        <f>IF(COUNTIF(packages_master!$A:$A,A54)&gt;0,"Y","N")</f>
        <v>N</v>
      </c>
      <c r="K54" s="5" t="str">
        <f t="shared" si="0"/>
        <v/>
      </c>
      <c r="L54" s="5" t="str">
        <f t="shared" si="1"/>
        <v/>
      </c>
      <c r="M54" s="5" t="str">
        <f t="shared" si="2"/>
        <v>NORMAL</v>
      </c>
      <c r="N54" s="5" t="str">
        <f t="shared" si="3"/>
        <v/>
      </c>
      <c r="O54" s="12"/>
      <c r="P54" s="12"/>
      <c r="Q54" s="12"/>
      <c r="R54" s="12" t="s">
        <v>63</v>
      </c>
      <c r="S54" s="12"/>
    </row>
    <row r="55" spans="1:19" x14ac:dyDescent="0.25">
      <c r="A55" s="5" t="s">
        <v>158</v>
      </c>
      <c r="B55" s="5" t="s">
        <v>159</v>
      </c>
      <c r="C55" s="6">
        <v>19.5</v>
      </c>
      <c r="D55" s="6">
        <v>7.2</v>
      </c>
      <c r="E55" s="6">
        <v>2.8</v>
      </c>
      <c r="F55" s="6">
        <v>4.7E-2</v>
      </c>
      <c r="G55" s="5"/>
      <c r="H55" s="7" t="s">
        <v>61</v>
      </c>
      <c r="I55" s="5" t="s">
        <v>62</v>
      </c>
      <c r="J55" s="5" t="str">
        <f>IF(COUNTIF(packages_master!$A:$A,A55)&gt;0,"Y","N")</f>
        <v>N</v>
      </c>
      <c r="K55" s="5" t="str">
        <f t="shared" si="0"/>
        <v/>
      </c>
      <c r="L55" s="5" t="str">
        <f t="shared" si="1"/>
        <v/>
      </c>
      <c r="M55" s="5" t="str">
        <f t="shared" si="2"/>
        <v>NORMAL</v>
      </c>
      <c r="N55" s="5" t="str">
        <f t="shared" si="3"/>
        <v/>
      </c>
      <c r="O55" s="12"/>
      <c r="P55" s="12"/>
      <c r="Q55" s="12"/>
      <c r="R55" s="12" t="s">
        <v>63</v>
      </c>
      <c r="S55" s="12"/>
    </row>
    <row r="56" spans="1:19" x14ac:dyDescent="0.25">
      <c r="A56" s="5" t="s">
        <v>160</v>
      </c>
      <c r="B56" s="5" t="s">
        <v>161</v>
      </c>
      <c r="C56" s="6">
        <v>19.5</v>
      </c>
      <c r="D56" s="6">
        <v>7.2</v>
      </c>
      <c r="E56" s="6">
        <v>2.8</v>
      </c>
      <c r="F56" s="6">
        <v>4.7E-2</v>
      </c>
      <c r="G56" s="5"/>
      <c r="H56" s="7" t="s">
        <v>61</v>
      </c>
      <c r="I56" s="5" t="s">
        <v>62</v>
      </c>
      <c r="J56" s="5" t="str">
        <f>IF(COUNTIF(packages_master!$A:$A,A56)&gt;0,"Y","N")</f>
        <v>N</v>
      </c>
      <c r="K56" s="5" t="str">
        <f t="shared" si="0"/>
        <v/>
      </c>
      <c r="L56" s="5" t="str">
        <f t="shared" si="1"/>
        <v/>
      </c>
      <c r="M56" s="5" t="str">
        <f t="shared" si="2"/>
        <v>NORMAL</v>
      </c>
      <c r="N56" s="5" t="str">
        <f t="shared" si="3"/>
        <v/>
      </c>
      <c r="O56" s="12"/>
      <c r="P56" s="12"/>
      <c r="Q56" s="12"/>
      <c r="R56" s="12" t="s">
        <v>63</v>
      </c>
      <c r="S56" s="12"/>
    </row>
    <row r="57" spans="1:19" x14ac:dyDescent="0.25">
      <c r="A57" s="5" t="s">
        <v>162</v>
      </c>
      <c r="B57" s="5" t="s">
        <v>163</v>
      </c>
      <c r="C57" s="6">
        <v>20.5</v>
      </c>
      <c r="D57" s="6">
        <v>20.3</v>
      </c>
      <c r="E57" s="6">
        <v>3.8</v>
      </c>
      <c r="F57" s="6">
        <v>0.26</v>
      </c>
      <c r="G57" s="5"/>
      <c r="H57" s="7" t="s">
        <v>61</v>
      </c>
      <c r="I57" s="5" t="s">
        <v>62</v>
      </c>
      <c r="J57" s="5" t="str">
        <f>IF(COUNTIF(packages_master!$A:$A,A57)&gt;0,"Y","N")</f>
        <v>N</v>
      </c>
      <c r="K57" s="5" t="str">
        <f t="shared" si="0"/>
        <v/>
      </c>
      <c r="L57" s="5" t="str">
        <f t="shared" si="1"/>
        <v/>
      </c>
      <c r="M57" s="5" t="str">
        <f t="shared" si="2"/>
        <v>NORMAL</v>
      </c>
      <c r="N57" s="5" t="str">
        <f t="shared" si="3"/>
        <v/>
      </c>
      <c r="O57" s="12"/>
      <c r="P57" s="12"/>
      <c r="Q57" s="12"/>
      <c r="R57" s="12" t="s">
        <v>63</v>
      </c>
      <c r="S57" s="12"/>
    </row>
    <row r="58" spans="1:19" x14ac:dyDescent="0.25">
      <c r="A58" s="5" t="s">
        <v>164</v>
      </c>
      <c r="B58" s="5" t="s">
        <v>165</v>
      </c>
      <c r="C58" s="6">
        <v>20.5</v>
      </c>
      <c r="D58" s="6">
        <v>20.3</v>
      </c>
      <c r="E58" s="6">
        <v>3.8</v>
      </c>
      <c r="F58" s="6">
        <v>0.26</v>
      </c>
      <c r="G58" s="5"/>
      <c r="H58" s="7" t="s">
        <v>61</v>
      </c>
      <c r="I58" s="5" t="s">
        <v>62</v>
      </c>
      <c r="J58" s="5" t="str">
        <f>IF(COUNTIF(packages_master!$A:$A,A58)&gt;0,"Y","N")</f>
        <v>N</v>
      </c>
      <c r="K58" s="5" t="str">
        <f t="shared" si="0"/>
        <v/>
      </c>
      <c r="L58" s="5" t="str">
        <f t="shared" si="1"/>
        <v/>
      </c>
      <c r="M58" s="5" t="str">
        <f t="shared" si="2"/>
        <v>NORMAL</v>
      </c>
      <c r="N58" s="5" t="str">
        <f t="shared" si="3"/>
        <v/>
      </c>
      <c r="O58" s="12"/>
      <c r="P58" s="12"/>
      <c r="Q58" s="12"/>
      <c r="R58" s="12" t="s">
        <v>63</v>
      </c>
      <c r="S58" s="12"/>
    </row>
    <row r="59" spans="1:19" x14ac:dyDescent="0.25">
      <c r="A59" s="5" t="s">
        <v>166</v>
      </c>
      <c r="B59" s="5" t="s">
        <v>167</v>
      </c>
      <c r="C59" s="6">
        <v>20.5</v>
      </c>
      <c r="D59" s="6">
        <v>20.3</v>
      </c>
      <c r="E59" s="6">
        <v>3.8</v>
      </c>
      <c r="F59" s="6">
        <v>0.26</v>
      </c>
      <c r="G59" s="5"/>
      <c r="H59" s="7" t="s">
        <v>61</v>
      </c>
      <c r="I59" s="5" t="s">
        <v>62</v>
      </c>
      <c r="J59" s="5" t="str">
        <f>IF(COUNTIF(packages_master!$A:$A,A59)&gt;0,"Y","N")</f>
        <v>N</v>
      </c>
      <c r="K59" s="5" t="str">
        <f t="shared" si="0"/>
        <v/>
      </c>
      <c r="L59" s="5" t="str">
        <f t="shared" si="1"/>
        <v/>
      </c>
      <c r="M59" s="5" t="str">
        <f t="shared" si="2"/>
        <v>NORMAL</v>
      </c>
      <c r="N59" s="5" t="str">
        <f t="shared" si="3"/>
        <v/>
      </c>
      <c r="O59" s="12"/>
      <c r="P59" s="12"/>
      <c r="Q59" s="12"/>
      <c r="R59" s="12" t="s">
        <v>63</v>
      </c>
      <c r="S59" s="12"/>
    </row>
    <row r="60" spans="1:19" x14ac:dyDescent="0.25">
      <c r="A60" s="5" t="s">
        <v>168</v>
      </c>
      <c r="B60" s="5" t="s">
        <v>169</v>
      </c>
      <c r="C60" s="6">
        <v>20.5</v>
      </c>
      <c r="D60" s="6">
        <v>20.3</v>
      </c>
      <c r="E60" s="6">
        <v>3.8</v>
      </c>
      <c r="F60" s="6">
        <v>0.26</v>
      </c>
      <c r="G60" s="5"/>
      <c r="H60" s="7" t="s">
        <v>61</v>
      </c>
      <c r="I60" s="5" t="s">
        <v>62</v>
      </c>
      <c r="J60" s="5" t="str">
        <f>IF(COUNTIF(packages_master!$A:$A,A60)&gt;0,"Y","N")</f>
        <v>N</v>
      </c>
      <c r="K60" s="5" t="str">
        <f t="shared" si="0"/>
        <v/>
      </c>
      <c r="L60" s="5" t="str">
        <f t="shared" si="1"/>
        <v/>
      </c>
      <c r="M60" s="5" t="str">
        <f t="shared" si="2"/>
        <v>NORMAL</v>
      </c>
      <c r="N60" s="5" t="str">
        <f t="shared" si="3"/>
        <v/>
      </c>
      <c r="O60" s="12"/>
      <c r="P60" s="12"/>
      <c r="Q60" s="12"/>
      <c r="R60" s="12" t="s">
        <v>63</v>
      </c>
      <c r="S60" s="12"/>
    </row>
    <row r="61" spans="1:19" x14ac:dyDescent="0.25">
      <c r="A61" s="5" t="s">
        <v>170</v>
      </c>
      <c r="B61" s="5" t="s">
        <v>171</v>
      </c>
      <c r="C61" s="6">
        <v>20.5</v>
      </c>
      <c r="D61" s="6">
        <v>20.3</v>
      </c>
      <c r="E61" s="6">
        <v>3.8</v>
      </c>
      <c r="F61" s="6">
        <v>0.26</v>
      </c>
      <c r="G61" s="5"/>
      <c r="H61" s="7" t="s">
        <v>61</v>
      </c>
      <c r="I61" s="5" t="s">
        <v>62</v>
      </c>
      <c r="J61" s="5" t="str">
        <f>IF(COUNTIF(packages_master!$A:$A,A61)&gt;0,"Y","N")</f>
        <v>N</v>
      </c>
      <c r="K61" s="5" t="str">
        <f t="shared" si="0"/>
        <v/>
      </c>
      <c r="L61" s="5" t="str">
        <f t="shared" si="1"/>
        <v/>
      </c>
      <c r="M61" s="5" t="str">
        <f t="shared" si="2"/>
        <v>NORMAL</v>
      </c>
      <c r="N61" s="5" t="str">
        <f t="shared" si="3"/>
        <v/>
      </c>
      <c r="O61" s="12"/>
      <c r="P61" s="12"/>
      <c r="Q61" s="12"/>
      <c r="R61" s="12" t="s">
        <v>63</v>
      </c>
      <c r="S61" s="12"/>
    </row>
    <row r="62" spans="1:19" x14ac:dyDescent="0.25">
      <c r="A62" s="5" t="s">
        <v>172</v>
      </c>
      <c r="B62" s="5" t="s">
        <v>173</v>
      </c>
      <c r="C62" s="6">
        <v>16.100000000000001</v>
      </c>
      <c r="D62" s="6">
        <v>5.7</v>
      </c>
      <c r="E62" s="6">
        <v>3.1</v>
      </c>
      <c r="F62" s="6">
        <v>6.9000000000000006E-2</v>
      </c>
      <c r="G62" s="5"/>
      <c r="H62" s="7" t="s">
        <v>61</v>
      </c>
      <c r="I62" s="5" t="s">
        <v>62</v>
      </c>
      <c r="J62" s="5" t="str">
        <f>IF(COUNTIF(packages_master!$A:$A,A62)&gt;0,"Y","N")</f>
        <v>N</v>
      </c>
      <c r="K62" s="5" t="str">
        <f t="shared" si="0"/>
        <v/>
      </c>
      <c r="L62" s="5" t="str">
        <f t="shared" si="1"/>
        <v/>
      </c>
      <c r="M62" s="5" t="str">
        <f t="shared" si="2"/>
        <v>NORMAL</v>
      </c>
      <c r="N62" s="5" t="str">
        <f t="shared" si="3"/>
        <v/>
      </c>
      <c r="O62" s="12"/>
      <c r="P62" s="12"/>
      <c r="Q62" s="12"/>
      <c r="R62" s="12" t="s">
        <v>63</v>
      </c>
      <c r="S62" s="12"/>
    </row>
    <row r="63" spans="1:19" x14ac:dyDescent="0.25">
      <c r="A63" s="5" t="s">
        <v>174</v>
      </c>
      <c r="B63" s="5" t="s">
        <v>175</v>
      </c>
      <c r="C63" s="8">
        <v>16</v>
      </c>
      <c r="D63" s="6">
        <v>5.6</v>
      </c>
      <c r="E63" s="6">
        <v>3.1</v>
      </c>
      <c r="F63" s="6">
        <v>6.7000000000000004E-2</v>
      </c>
      <c r="G63" s="5"/>
      <c r="H63" s="7" t="s">
        <v>61</v>
      </c>
      <c r="I63" s="5" t="s">
        <v>62</v>
      </c>
      <c r="J63" s="5" t="str">
        <f>IF(COUNTIF(packages_master!$A:$A,A63)&gt;0,"Y","N")</f>
        <v>N</v>
      </c>
      <c r="K63" s="5" t="str">
        <f t="shared" si="0"/>
        <v/>
      </c>
      <c r="L63" s="5" t="str">
        <f t="shared" si="1"/>
        <v/>
      </c>
      <c r="M63" s="5" t="str">
        <f t="shared" si="2"/>
        <v>NORMAL</v>
      </c>
      <c r="N63" s="5" t="str">
        <f t="shared" si="3"/>
        <v/>
      </c>
      <c r="O63" s="12"/>
      <c r="P63" s="12"/>
      <c r="Q63" s="12"/>
      <c r="R63" s="12" t="s">
        <v>63</v>
      </c>
      <c r="S63" s="12"/>
    </row>
    <row r="64" spans="1:19" x14ac:dyDescent="0.25">
      <c r="A64" s="5" t="s">
        <v>176</v>
      </c>
      <c r="B64" s="5" t="s">
        <v>177</v>
      </c>
      <c r="C64" s="6">
        <v>23.3</v>
      </c>
      <c r="D64" s="6">
        <v>7.5</v>
      </c>
      <c r="E64" s="6">
        <v>3.2</v>
      </c>
      <c r="F64" s="6">
        <v>7.3999999999999996E-2</v>
      </c>
      <c r="G64" s="5"/>
      <c r="H64" s="7" t="s">
        <v>61</v>
      </c>
      <c r="I64" s="5" t="s">
        <v>62</v>
      </c>
      <c r="J64" s="5" t="str">
        <f>IF(COUNTIF(packages_master!$A:$A,A64)&gt;0,"Y","N")</f>
        <v>N</v>
      </c>
      <c r="K64" s="5" t="str">
        <f t="shared" si="0"/>
        <v/>
      </c>
      <c r="L64" s="5" t="str">
        <f t="shared" si="1"/>
        <v/>
      </c>
      <c r="M64" s="5" t="str">
        <f t="shared" si="2"/>
        <v>NORMAL</v>
      </c>
      <c r="N64" s="5" t="str">
        <f t="shared" si="3"/>
        <v/>
      </c>
      <c r="O64" s="12"/>
      <c r="P64" s="12"/>
      <c r="Q64" s="12"/>
      <c r="R64" s="12" t="s">
        <v>63</v>
      </c>
      <c r="S64" s="12"/>
    </row>
    <row r="65" spans="1:19" x14ac:dyDescent="0.25">
      <c r="A65" s="5" t="s">
        <v>178</v>
      </c>
      <c r="B65" s="5" t="s">
        <v>179</v>
      </c>
      <c r="C65" s="6">
        <v>23.3</v>
      </c>
      <c r="D65" s="6">
        <v>7.5</v>
      </c>
      <c r="E65" s="6">
        <v>3.2</v>
      </c>
      <c r="F65" s="6">
        <v>7.3999999999999996E-2</v>
      </c>
      <c r="G65" s="5"/>
      <c r="H65" s="7" t="s">
        <v>61</v>
      </c>
      <c r="I65" s="5" t="s">
        <v>62</v>
      </c>
      <c r="J65" s="5" t="str">
        <f>IF(COUNTIF(packages_master!$A:$A,A65)&gt;0,"Y","N")</f>
        <v>N</v>
      </c>
      <c r="K65" s="5" t="str">
        <f t="shared" si="0"/>
        <v/>
      </c>
      <c r="L65" s="5" t="str">
        <f t="shared" si="1"/>
        <v/>
      </c>
      <c r="M65" s="5" t="str">
        <f t="shared" si="2"/>
        <v>NORMAL</v>
      </c>
      <c r="N65" s="5" t="str">
        <f t="shared" si="3"/>
        <v/>
      </c>
      <c r="O65" s="12"/>
      <c r="P65" s="12"/>
      <c r="Q65" s="12"/>
      <c r="R65" s="12" t="s">
        <v>63</v>
      </c>
      <c r="S65" s="12"/>
    </row>
    <row r="66" spans="1:19" x14ac:dyDescent="0.25">
      <c r="A66" s="5" t="s">
        <v>180</v>
      </c>
      <c r="B66" s="5" t="s">
        <v>181</v>
      </c>
      <c r="C66" s="6">
        <v>23.3</v>
      </c>
      <c r="D66" s="6">
        <v>7.5</v>
      </c>
      <c r="E66" s="6">
        <v>3.2</v>
      </c>
      <c r="F66" s="6">
        <v>7.0999999999999994E-2</v>
      </c>
      <c r="G66" s="5"/>
      <c r="H66" s="7" t="s">
        <v>61</v>
      </c>
      <c r="I66" s="5" t="s">
        <v>62</v>
      </c>
      <c r="J66" s="5" t="str">
        <f>IF(COUNTIF(packages_master!$A:$A,A66)&gt;0,"Y","N")</f>
        <v>N</v>
      </c>
      <c r="K66" s="5" t="str">
        <f t="shared" si="0"/>
        <v/>
      </c>
      <c r="L66" s="5" t="str">
        <f t="shared" si="1"/>
        <v/>
      </c>
      <c r="M66" s="5" t="str">
        <f t="shared" si="2"/>
        <v>NORMAL</v>
      </c>
      <c r="N66" s="5" t="str">
        <f t="shared" si="3"/>
        <v/>
      </c>
      <c r="O66" s="12"/>
      <c r="P66" s="12"/>
      <c r="Q66" s="12"/>
      <c r="R66" s="12" t="s">
        <v>63</v>
      </c>
      <c r="S66" s="12"/>
    </row>
    <row r="67" spans="1:19" x14ac:dyDescent="0.25">
      <c r="A67" s="5" t="s">
        <v>182</v>
      </c>
      <c r="B67" s="5" t="s">
        <v>183</v>
      </c>
      <c r="C67" s="6">
        <v>18.5</v>
      </c>
      <c r="D67" s="6">
        <v>9.1999999999999993</v>
      </c>
      <c r="E67" s="6">
        <v>3.4</v>
      </c>
      <c r="F67" s="6">
        <v>0.14299999999999999</v>
      </c>
      <c r="G67" s="5" t="s">
        <v>184</v>
      </c>
      <c r="H67" s="7" t="s">
        <v>61</v>
      </c>
      <c r="I67" s="5" t="s">
        <v>62</v>
      </c>
      <c r="J67" s="5" t="str">
        <f>IF(COUNTIF(packages_master!$A:$A,A67)&gt;0,"Y","N")</f>
        <v>N</v>
      </c>
      <c r="K67" s="5" t="str">
        <f t="shared" si="0"/>
        <v>BX010</v>
      </c>
      <c r="L67" s="5">
        <f t="shared" si="1"/>
        <v>300</v>
      </c>
      <c r="M67" s="5" t="str">
        <f t="shared" si="2"/>
        <v>SPECIAL_300</v>
      </c>
      <c r="N67" s="5" t="str">
        <f t="shared" si="3"/>
        <v/>
      </c>
      <c r="O67" s="12"/>
      <c r="P67" s="12"/>
      <c r="Q67" s="12"/>
      <c r="R67" s="12" t="s">
        <v>63</v>
      </c>
      <c r="S67" s="12"/>
    </row>
    <row r="68" spans="1:19" x14ac:dyDescent="0.25">
      <c r="A68" s="5" t="s">
        <v>185</v>
      </c>
      <c r="B68" s="5" t="s">
        <v>186</v>
      </c>
      <c r="C68" s="6">
        <v>18.5</v>
      </c>
      <c r="D68" s="6">
        <v>9.1999999999999993</v>
      </c>
      <c r="E68" s="6">
        <v>3.4</v>
      </c>
      <c r="F68" s="6">
        <v>0.14299999999999999</v>
      </c>
      <c r="G68" s="5" t="s">
        <v>184</v>
      </c>
      <c r="H68" s="7" t="s">
        <v>61</v>
      </c>
      <c r="I68" s="5" t="s">
        <v>62</v>
      </c>
      <c r="J68" s="5" t="str">
        <f>IF(COUNTIF(packages_master!$A:$A,A68)&gt;0,"Y","N")</f>
        <v>N</v>
      </c>
      <c r="K68" s="5" t="str">
        <f t="shared" si="0"/>
        <v>BX010</v>
      </c>
      <c r="L68" s="5">
        <f t="shared" si="1"/>
        <v>300</v>
      </c>
      <c r="M68" s="5" t="str">
        <f t="shared" si="2"/>
        <v>SPECIAL_300</v>
      </c>
      <c r="N68" s="5" t="str">
        <f t="shared" si="3"/>
        <v/>
      </c>
      <c r="O68" s="12"/>
      <c r="P68" s="12"/>
      <c r="Q68" s="12"/>
      <c r="R68" s="12" t="s">
        <v>63</v>
      </c>
      <c r="S68" s="12"/>
    </row>
    <row r="69" spans="1:19" x14ac:dyDescent="0.25">
      <c r="A69" s="5" t="s">
        <v>187</v>
      </c>
      <c r="B69" s="5" t="s">
        <v>188</v>
      </c>
      <c r="C69" s="8">
        <v>10</v>
      </c>
      <c r="D69" s="8">
        <v>10</v>
      </c>
      <c r="E69" s="8">
        <v>11</v>
      </c>
      <c r="F69" s="6">
        <v>0.59799999999999998</v>
      </c>
      <c r="G69" s="5" t="s">
        <v>184</v>
      </c>
      <c r="H69" s="7" t="s">
        <v>61</v>
      </c>
      <c r="I69" s="5" t="s">
        <v>62</v>
      </c>
      <c r="J69" s="5" t="str">
        <f>IF(COUNTIF(packages_master!$A:$A,A69)&gt;0,"Y","N")</f>
        <v>N</v>
      </c>
      <c r="K69" s="5" t="str">
        <f t="shared" si="0"/>
        <v>BX010</v>
      </c>
      <c r="L69" s="5">
        <f t="shared" si="1"/>
        <v>300</v>
      </c>
      <c r="M69" s="5" t="str">
        <f t="shared" si="2"/>
        <v>SPECIAL_300</v>
      </c>
      <c r="N69" s="5" t="str">
        <f t="shared" si="3"/>
        <v/>
      </c>
      <c r="O69" s="12"/>
      <c r="P69" s="12"/>
      <c r="Q69" s="12"/>
      <c r="R69" s="12" t="s">
        <v>63</v>
      </c>
      <c r="S69" s="12"/>
    </row>
    <row r="70" spans="1:19" x14ac:dyDescent="0.25">
      <c r="A70" s="5" t="s">
        <v>189</v>
      </c>
      <c r="B70" s="5" t="s">
        <v>190</v>
      </c>
      <c r="C70" s="8">
        <v>10</v>
      </c>
      <c r="D70" s="8">
        <v>10</v>
      </c>
      <c r="E70" s="8">
        <v>11</v>
      </c>
      <c r="F70" s="6">
        <v>0.59899999999999998</v>
      </c>
      <c r="G70" s="5" t="s">
        <v>184</v>
      </c>
      <c r="H70" s="7" t="s">
        <v>61</v>
      </c>
      <c r="I70" s="5" t="s">
        <v>62</v>
      </c>
      <c r="J70" s="5" t="str">
        <f>IF(COUNTIF(packages_master!$A:$A,A70)&gt;0,"Y","N")</f>
        <v>N</v>
      </c>
      <c r="K70" s="5" t="str">
        <f t="shared" si="0"/>
        <v>BX010</v>
      </c>
      <c r="L70" s="5">
        <f t="shared" si="1"/>
        <v>300</v>
      </c>
      <c r="M70" s="5" t="str">
        <f t="shared" si="2"/>
        <v>SPECIAL_300</v>
      </c>
      <c r="N70" s="5" t="str">
        <f t="shared" si="3"/>
        <v/>
      </c>
      <c r="O70" s="12"/>
      <c r="P70" s="12"/>
      <c r="Q70" s="12"/>
      <c r="R70" s="12" t="s">
        <v>63</v>
      </c>
      <c r="S70" s="12"/>
    </row>
    <row r="71" spans="1:19" x14ac:dyDescent="0.25">
      <c r="A71" s="5" t="s">
        <v>191</v>
      </c>
      <c r="B71" s="5" t="s">
        <v>192</v>
      </c>
      <c r="C71" s="6">
        <v>19.3</v>
      </c>
      <c r="D71" s="8">
        <v>7</v>
      </c>
      <c r="E71" s="6">
        <v>2.5</v>
      </c>
      <c r="F71" s="6">
        <v>4.8000000000000001E-2</v>
      </c>
      <c r="G71" s="5" t="s">
        <v>184</v>
      </c>
      <c r="H71" s="7" t="s">
        <v>61</v>
      </c>
      <c r="I71" s="5" t="s">
        <v>62</v>
      </c>
      <c r="J71" s="5" t="str">
        <f>IF(COUNTIF(packages_master!$A:$A,A71)&gt;0,"Y","N")</f>
        <v>N</v>
      </c>
      <c r="K71" s="5" t="str">
        <f t="shared" si="0"/>
        <v>BX010</v>
      </c>
      <c r="L71" s="5">
        <f t="shared" si="1"/>
        <v>300</v>
      </c>
      <c r="M71" s="5" t="str">
        <f t="shared" si="2"/>
        <v>SPECIAL_300</v>
      </c>
      <c r="N71" s="5" t="str">
        <f t="shared" si="3"/>
        <v/>
      </c>
      <c r="O71" s="12"/>
      <c r="P71" s="12"/>
      <c r="Q71" s="12"/>
      <c r="R71" s="12" t="s">
        <v>63</v>
      </c>
      <c r="S71" s="12"/>
    </row>
    <row r="72" spans="1:19" x14ac:dyDescent="0.25">
      <c r="A72" s="5" t="s">
        <v>193</v>
      </c>
      <c r="B72" s="5" t="s">
        <v>194</v>
      </c>
      <c r="C72" s="6">
        <v>19.3</v>
      </c>
      <c r="D72" s="8">
        <v>7</v>
      </c>
      <c r="E72" s="6">
        <v>2.5</v>
      </c>
      <c r="F72" s="6">
        <v>4.7E-2</v>
      </c>
      <c r="G72" s="5" t="s">
        <v>184</v>
      </c>
      <c r="H72" s="7" t="s">
        <v>61</v>
      </c>
      <c r="I72" s="5" t="s">
        <v>62</v>
      </c>
      <c r="J72" s="5" t="str">
        <f>IF(COUNTIF(packages_master!$A:$A,A72)&gt;0,"Y","N")</f>
        <v>N</v>
      </c>
      <c r="K72" s="5" t="str">
        <f t="shared" ref="K72:K135" si="8">IF(G72&lt;&gt;"","BX010","")</f>
        <v>BX010</v>
      </c>
      <c r="L72" s="5">
        <f t="shared" ref="L72:L135" si="9">IF(G72&lt;&gt;"",300,"")</f>
        <v>300</v>
      </c>
      <c r="M72" s="5" t="str">
        <f t="shared" ref="M72:M135" si="10">IF(J72="Y","PACKAGE_SEALED",IF(G72&lt;&gt;"","SPECIAL_300","NORMAL"))</f>
        <v>SPECIAL_300</v>
      </c>
      <c r="N72" s="5" t="str">
        <f t="shared" ref="N72:N135" si="11">IF(J72="Y","packages_master","")</f>
        <v/>
      </c>
      <c r="O72" s="12"/>
      <c r="P72" s="12"/>
      <c r="Q72" s="12"/>
      <c r="R72" s="12" t="s">
        <v>63</v>
      </c>
      <c r="S72" s="12"/>
    </row>
    <row r="73" spans="1:19" x14ac:dyDescent="0.25">
      <c r="A73" s="5" t="s">
        <v>195</v>
      </c>
      <c r="B73" s="5" t="s">
        <v>196</v>
      </c>
      <c r="C73" s="6">
        <v>19.3</v>
      </c>
      <c r="D73" s="8">
        <v>7</v>
      </c>
      <c r="E73" s="6">
        <v>2.5</v>
      </c>
      <c r="F73" s="6">
        <v>4.7E-2</v>
      </c>
      <c r="G73" s="5" t="s">
        <v>184</v>
      </c>
      <c r="H73" s="7" t="s">
        <v>61</v>
      </c>
      <c r="I73" s="5" t="s">
        <v>62</v>
      </c>
      <c r="J73" s="5" t="str">
        <f>IF(COUNTIF(packages_master!$A:$A,A73)&gt;0,"Y","N")</f>
        <v>N</v>
      </c>
      <c r="K73" s="5" t="str">
        <f t="shared" si="8"/>
        <v>BX010</v>
      </c>
      <c r="L73" s="5">
        <f t="shared" si="9"/>
        <v>300</v>
      </c>
      <c r="M73" s="5" t="str">
        <f t="shared" si="10"/>
        <v>SPECIAL_300</v>
      </c>
      <c r="N73" s="5" t="str">
        <f t="shared" si="11"/>
        <v/>
      </c>
      <c r="O73" s="12"/>
      <c r="P73" s="12"/>
      <c r="Q73" s="12"/>
      <c r="R73" s="12" t="s">
        <v>63</v>
      </c>
      <c r="S73" s="12"/>
    </row>
    <row r="74" spans="1:19" x14ac:dyDescent="0.25">
      <c r="A74" s="5" t="s">
        <v>197</v>
      </c>
      <c r="B74" s="5" t="s">
        <v>198</v>
      </c>
      <c r="C74" s="6">
        <v>19.3</v>
      </c>
      <c r="D74" s="8">
        <v>7</v>
      </c>
      <c r="E74" s="6">
        <v>2.5</v>
      </c>
      <c r="F74" s="6">
        <v>4.8000000000000001E-2</v>
      </c>
      <c r="G74" s="5" t="s">
        <v>184</v>
      </c>
      <c r="H74" s="7" t="s">
        <v>61</v>
      </c>
      <c r="I74" s="5" t="s">
        <v>62</v>
      </c>
      <c r="J74" s="5" t="str">
        <f>IF(COUNTIF(packages_master!$A:$A,A74)&gt;0,"Y","N")</f>
        <v>N</v>
      </c>
      <c r="K74" s="5" t="str">
        <f t="shared" si="8"/>
        <v>BX010</v>
      </c>
      <c r="L74" s="5">
        <f t="shared" si="9"/>
        <v>300</v>
      </c>
      <c r="M74" s="5" t="str">
        <f t="shared" si="10"/>
        <v>SPECIAL_300</v>
      </c>
      <c r="N74" s="5" t="str">
        <f t="shared" si="11"/>
        <v/>
      </c>
      <c r="O74" s="12"/>
      <c r="P74" s="12"/>
      <c r="Q74" s="12"/>
      <c r="R74" s="12" t="s">
        <v>63</v>
      </c>
      <c r="S74" s="12"/>
    </row>
    <row r="75" spans="1:19" x14ac:dyDescent="0.25">
      <c r="A75" s="5" t="s">
        <v>199</v>
      </c>
      <c r="B75" s="5" t="s">
        <v>200</v>
      </c>
      <c r="C75" s="6">
        <v>19.600000000000001</v>
      </c>
      <c r="D75" s="6">
        <v>7.1</v>
      </c>
      <c r="E75" s="8">
        <v>3</v>
      </c>
      <c r="F75" s="6">
        <v>4.5999999999999999E-2</v>
      </c>
      <c r="G75" s="5" t="s">
        <v>184</v>
      </c>
      <c r="H75" s="7" t="s">
        <v>61</v>
      </c>
      <c r="I75" s="5" t="s">
        <v>62</v>
      </c>
      <c r="J75" s="5" t="str">
        <f>IF(COUNTIF(packages_master!$A:$A,A75)&gt;0,"Y","N")</f>
        <v>N</v>
      </c>
      <c r="K75" s="5" t="str">
        <f t="shared" si="8"/>
        <v>BX010</v>
      </c>
      <c r="L75" s="5">
        <f t="shared" si="9"/>
        <v>300</v>
      </c>
      <c r="M75" s="5" t="str">
        <f t="shared" si="10"/>
        <v>SPECIAL_300</v>
      </c>
      <c r="N75" s="5" t="str">
        <f t="shared" si="11"/>
        <v/>
      </c>
      <c r="O75" s="12"/>
      <c r="P75" s="12"/>
      <c r="Q75" s="12"/>
      <c r="R75" s="12" t="s">
        <v>63</v>
      </c>
      <c r="S75" s="12"/>
    </row>
    <row r="76" spans="1:19" x14ac:dyDescent="0.25">
      <c r="A76" s="5" t="s">
        <v>201</v>
      </c>
      <c r="B76" s="5" t="s">
        <v>202</v>
      </c>
      <c r="C76" s="6">
        <v>19.600000000000001</v>
      </c>
      <c r="D76" s="6">
        <v>7.1</v>
      </c>
      <c r="E76" s="8">
        <v>3</v>
      </c>
      <c r="F76" s="6">
        <v>4.5999999999999999E-2</v>
      </c>
      <c r="G76" s="5" t="s">
        <v>184</v>
      </c>
      <c r="H76" s="7" t="s">
        <v>61</v>
      </c>
      <c r="I76" s="5" t="s">
        <v>62</v>
      </c>
      <c r="J76" s="5" t="str">
        <f>IF(COUNTIF(packages_master!$A:$A,A76)&gt;0,"Y","N")</f>
        <v>N</v>
      </c>
      <c r="K76" s="5" t="str">
        <f t="shared" si="8"/>
        <v>BX010</v>
      </c>
      <c r="L76" s="5">
        <f t="shared" si="9"/>
        <v>300</v>
      </c>
      <c r="M76" s="5" t="str">
        <f t="shared" si="10"/>
        <v>SPECIAL_300</v>
      </c>
      <c r="N76" s="5" t="str">
        <f t="shared" si="11"/>
        <v/>
      </c>
      <c r="O76" s="12"/>
      <c r="P76" s="12"/>
      <c r="Q76" s="12"/>
      <c r="R76" s="12" t="s">
        <v>63</v>
      </c>
      <c r="S76" s="12"/>
    </row>
    <row r="77" spans="1:19" x14ac:dyDescent="0.25">
      <c r="A77" s="5" t="s">
        <v>203</v>
      </c>
      <c r="B77" s="5" t="s">
        <v>204</v>
      </c>
      <c r="C77" s="6">
        <v>19.600000000000001</v>
      </c>
      <c r="D77" s="6">
        <v>7.1</v>
      </c>
      <c r="E77" s="8">
        <v>3</v>
      </c>
      <c r="F77" s="6">
        <v>4.5999999999999999E-2</v>
      </c>
      <c r="G77" s="5" t="s">
        <v>184</v>
      </c>
      <c r="H77" s="7" t="s">
        <v>61</v>
      </c>
      <c r="I77" s="5" t="s">
        <v>62</v>
      </c>
      <c r="J77" s="5" t="str">
        <f>IF(COUNTIF(packages_master!$A:$A,A77)&gt;0,"Y","N")</f>
        <v>N</v>
      </c>
      <c r="K77" s="5" t="str">
        <f t="shared" si="8"/>
        <v>BX010</v>
      </c>
      <c r="L77" s="5">
        <f t="shared" si="9"/>
        <v>300</v>
      </c>
      <c r="M77" s="5" t="str">
        <f t="shared" si="10"/>
        <v>SPECIAL_300</v>
      </c>
      <c r="N77" s="5" t="str">
        <f t="shared" si="11"/>
        <v/>
      </c>
      <c r="O77" s="12"/>
      <c r="P77" s="12"/>
      <c r="Q77" s="12"/>
      <c r="R77" s="12" t="s">
        <v>63</v>
      </c>
      <c r="S77" s="12"/>
    </row>
    <row r="78" spans="1:19" x14ac:dyDescent="0.25">
      <c r="A78" s="5" t="s">
        <v>205</v>
      </c>
      <c r="B78" s="5" t="s">
        <v>206</v>
      </c>
      <c r="C78" s="6">
        <v>19.3</v>
      </c>
      <c r="D78" s="8">
        <v>7</v>
      </c>
      <c r="E78" s="6">
        <v>2.5</v>
      </c>
      <c r="F78" s="6">
        <v>4.4999999999999998E-2</v>
      </c>
      <c r="G78" s="5" t="s">
        <v>184</v>
      </c>
      <c r="H78" s="7" t="s">
        <v>61</v>
      </c>
      <c r="I78" s="5" t="s">
        <v>62</v>
      </c>
      <c r="J78" s="5" t="str">
        <f>IF(COUNTIF(packages_master!$A:$A,A78)&gt;0,"Y","N")</f>
        <v>N</v>
      </c>
      <c r="K78" s="5" t="str">
        <f t="shared" si="8"/>
        <v>BX010</v>
      </c>
      <c r="L78" s="5">
        <f t="shared" si="9"/>
        <v>300</v>
      </c>
      <c r="M78" s="5" t="str">
        <f t="shared" si="10"/>
        <v>SPECIAL_300</v>
      </c>
      <c r="N78" s="5" t="str">
        <f t="shared" si="11"/>
        <v/>
      </c>
      <c r="O78" s="12"/>
      <c r="P78" s="12"/>
      <c r="Q78" s="12"/>
      <c r="R78" s="12" t="s">
        <v>63</v>
      </c>
      <c r="S78" s="12"/>
    </row>
    <row r="79" spans="1:19" x14ac:dyDescent="0.25">
      <c r="A79" s="5" t="s">
        <v>207</v>
      </c>
      <c r="B79" s="5" t="s">
        <v>208</v>
      </c>
      <c r="C79" s="6">
        <v>19.3</v>
      </c>
      <c r="D79" s="8">
        <v>7</v>
      </c>
      <c r="E79" s="6">
        <v>2.5</v>
      </c>
      <c r="F79" s="6">
        <v>4.4999999999999998E-2</v>
      </c>
      <c r="G79" s="5" t="s">
        <v>184</v>
      </c>
      <c r="H79" s="7" t="s">
        <v>61</v>
      </c>
      <c r="I79" s="5" t="s">
        <v>62</v>
      </c>
      <c r="J79" s="5" t="str">
        <f>IF(COUNTIF(packages_master!$A:$A,A79)&gt;0,"Y","N")</f>
        <v>N</v>
      </c>
      <c r="K79" s="5" t="str">
        <f t="shared" si="8"/>
        <v>BX010</v>
      </c>
      <c r="L79" s="5">
        <f t="shared" si="9"/>
        <v>300</v>
      </c>
      <c r="M79" s="5" t="str">
        <f t="shared" si="10"/>
        <v>SPECIAL_300</v>
      </c>
      <c r="N79" s="5" t="str">
        <f t="shared" si="11"/>
        <v/>
      </c>
      <c r="O79" s="12"/>
      <c r="P79" s="12"/>
      <c r="Q79" s="12"/>
      <c r="R79" s="12" t="s">
        <v>63</v>
      </c>
      <c r="S79" s="12"/>
    </row>
    <row r="80" spans="1:19" x14ac:dyDescent="0.25">
      <c r="A80" s="5" t="s">
        <v>209</v>
      </c>
      <c r="B80" s="5" t="s">
        <v>210</v>
      </c>
      <c r="C80" s="6">
        <v>19.3</v>
      </c>
      <c r="D80" s="8">
        <v>7</v>
      </c>
      <c r="E80" s="6">
        <v>2.5</v>
      </c>
      <c r="F80" s="6">
        <v>4.4999999999999998E-2</v>
      </c>
      <c r="G80" s="5" t="s">
        <v>184</v>
      </c>
      <c r="H80" s="7" t="s">
        <v>61</v>
      </c>
      <c r="I80" s="5" t="s">
        <v>62</v>
      </c>
      <c r="J80" s="5" t="str">
        <f>IF(COUNTIF(packages_master!$A:$A,A80)&gt;0,"Y","N")</f>
        <v>N</v>
      </c>
      <c r="K80" s="5" t="str">
        <f t="shared" si="8"/>
        <v>BX010</v>
      </c>
      <c r="L80" s="5">
        <f t="shared" si="9"/>
        <v>300</v>
      </c>
      <c r="M80" s="5" t="str">
        <f t="shared" si="10"/>
        <v>SPECIAL_300</v>
      </c>
      <c r="N80" s="5" t="str">
        <f t="shared" si="11"/>
        <v/>
      </c>
      <c r="O80" s="12"/>
      <c r="P80" s="12"/>
      <c r="Q80" s="12"/>
      <c r="R80" s="12" t="s">
        <v>63</v>
      </c>
      <c r="S80" s="12"/>
    </row>
    <row r="81" spans="1:19" x14ac:dyDescent="0.25">
      <c r="A81" s="5" t="s">
        <v>211</v>
      </c>
      <c r="B81" s="5" t="s">
        <v>212</v>
      </c>
      <c r="C81" s="6">
        <v>19.3</v>
      </c>
      <c r="D81" s="8">
        <v>7</v>
      </c>
      <c r="E81" s="6">
        <v>2.5</v>
      </c>
      <c r="F81" s="6">
        <v>4.4999999999999998E-2</v>
      </c>
      <c r="G81" s="5"/>
      <c r="H81" s="7" t="s">
        <v>61</v>
      </c>
      <c r="I81" s="5" t="s">
        <v>62</v>
      </c>
      <c r="J81" s="5" t="str">
        <f>IF(COUNTIF(packages_master!$A:$A,A81)&gt;0,"Y","N")</f>
        <v>N</v>
      </c>
      <c r="K81" s="5" t="str">
        <f t="shared" si="8"/>
        <v/>
      </c>
      <c r="L81" s="5" t="str">
        <f t="shared" si="9"/>
        <v/>
      </c>
      <c r="M81" s="5" t="str">
        <f t="shared" si="10"/>
        <v>NORMAL</v>
      </c>
      <c r="N81" s="5" t="str">
        <f t="shared" si="11"/>
        <v/>
      </c>
      <c r="O81" s="12"/>
      <c r="P81" s="12"/>
      <c r="Q81" s="12"/>
      <c r="R81" s="12" t="s">
        <v>63</v>
      </c>
      <c r="S81" s="12"/>
    </row>
    <row r="82" spans="1:19" x14ac:dyDescent="0.25">
      <c r="A82" s="5" t="s">
        <v>213</v>
      </c>
      <c r="B82" s="5" t="s">
        <v>214</v>
      </c>
      <c r="C82" s="6">
        <v>19.3</v>
      </c>
      <c r="D82" s="8">
        <v>7</v>
      </c>
      <c r="E82" s="6">
        <v>2.5</v>
      </c>
      <c r="F82" s="6">
        <v>4.4999999999999998E-2</v>
      </c>
      <c r="G82" s="5"/>
      <c r="H82" s="7" t="s">
        <v>61</v>
      </c>
      <c r="I82" s="5" t="s">
        <v>62</v>
      </c>
      <c r="J82" s="5" t="str">
        <f>IF(COUNTIF(packages_master!$A:$A,A82)&gt;0,"Y","N")</f>
        <v>N</v>
      </c>
      <c r="K82" s="5" t="str">
        <f t="shared" si="8"/>
        <v/>
      </c>
      <c r="L82" s="5" t="str">
        <f t="shared" si="9"/>
        <v/>
      </c>
      <c r="M82" s="5" t="str">
        <f t="shared" si="10"/>
        <v>NORMAL</v>
      </c>
      <c r="N82" s="5" t="str">
        <f t="shared" si="11"/>
        <v/>
      </c>
      <c r="O82" s="12"/>
      <c r="P82" s="12"/>
      <c r="Q82" s="12"/>
      <c r="R82" s="12" t="s">
        <v>63</v>
      </c>
      <c r="S82" s="12"/>
    </row>
    <row r="83" spans="1:19" x14ac:dyDescent="0.25">
      <c r="A83" s="5" t="s">
        <v>215</v>
      </c>
      <c r="B83" s="5" t="s">
        <v>216</v>
      </c>
      <c r="C83" s="6">
        <v>19.3</v>
      </c>
      <c r="D83" s="8">
        <v>7</v>
      </c>
      <c r="E83" s="6">
        <v>2.5</v>
      </c>
      <c r="F83" s="6">
        <v>4.4999999999999998E-2</v>
      </c>
      <c r="G83" s="5"/>
      <c r="H83" s="7" t="s">
        <v>61</v>
      </c>
      <c r="I83" s="5" t="s">
        <v>62</v>
      </c>
      <c r="J83" s="5" t="str">
        <f>IF(COUNTIF(packages_master!$A:$A,A83)&gt;0,"Y","N")</f>
        <v>N</v>
      </c>
      <c r="K83" s="5" t="str">
        <f t="shared" si="8"/>
        <v/>
      </c>
      <c r="L83" s="5" t="str">
        <f t="shared" si="9"/>
        <v/>
      </c>
      <c r="M83" s="5" t="str">
        <f t="shared" si="10"/>
        <v>NORMAL</v>
      </c>
      <c r="N83" s="5" t="str">
        <f t="shared" si="11"/>
        <v/>
      </c>
      <c r="O83" s="12"/>
      <c r="P83" s="12"/>
      <c r="Q83" s="12"/>
      <c r="R83" s="12" t="s">
        <v>63</v>
      </c>
      <c r="S83" s="12"/>
    </row>
    <row r="84" spans="1:19" x14ac:dyDescent="0.25">
      <c r="A84" s="5" t="s">
        <v>217</v>
      </c>
      <c r="B84" s="5" t="s">
        <v>218</v>
      </c>
      <c r="C84" s="6">
        <v>19.7</v>
      </c>
      <c r="D84" s="6">
        <v>7.7</v>
      </c>
      <c r="E84" s="6">
        <v>2.6</v>
      </c>
      <c r="F84" s="6">
        <v>6.2E-2</v>
      </c>
      <c r="G84" s="5"/>
      <c r="H84" s="7" t="s">
        <v>61</v>
      </c>
      <c r="I84" s="5" t="s">
        <v>62</v>
      </c>
      <c r="J84" s="5" t="str">
        <f>IF(COUNTIF(packages_master!$A:$A,A84)&gt;0,"Y","N")</f>
        <v>N</v>
      </c>
      <c r="K84" s="5" t="str">
        <f t="shared" si="8"/>
        <v/>
      </c>
      <c r="L84" s="5" t="str">
        <f t="shared" si="9"/>
        <v/>
      </c>
      <c r="M84" s="5" t="str">
        <f t="shared" si="10"/>
        <v>NORMAL</v>
      </c>
      <c r="N84" s="5" t="str">
        <f t="shared" si="11"/>
        <v/>
      </c>
      <c r="O84" s="12"/>
      <c r="P84" s="12"/>
      <c r="Q84" s="12"/>
      <c r="R84" s="12" t="s">
        <v>63</v>
      </c>
      <c r="S84" s="12"/>
    </row>
    <row r="85" spans="1:19" x14ac:dyDescent="0.25">
      <c r="A85" s="5" t="s">
        <v>219</v>
      </c>
      <c r="B85" s="5" t="s">
        <v>220</v>
      </c>
      <c r="C85" s="6">
        <v>19.5</v>
      </c>
      <c r="D85" s="8">
        <v>9</v>
      </c>
      <c r="E85" s="6">
        <v>3.2</v>
      </c>
      <c r="F85" s="6">
        <v>0.13</v>
      </c>
      <c r="G85" s="5"/>
      <c r="H85" s="7" t="s">
        <v>61</v>
      </c>
      <c r="I85" s="5" t="s">
        <v>62</v>
      </c>
      <c r="J85" s="5" t="str">
        <f>IF(COUNTIF(packages_master!$A:$A,A85)&gt;0,"Y","N")</f>
        <v>N</v>
      </c>
      <c r="K85" s="5" t="str">
        <f t="shared" si="8"/>
        <v/>
      </c>
      <c r="L85" s="5" t="str">
        <f t="shared" si="9"/>
        <v/>
      </c>
      <c r="M85" s="5" t="str">
        <f t="shared" si="10"/>
        <v>NORMAL</v>
      </c>
      <c r="N85" s="5" t="str">
        <f t="shared" si="11"/>
        <v/>
      </c>
      <c r="O85" s="12"/>
      <c r="P85" s="12"/>
      <c r="Q85" s="12"/>
      <c r="R85" s="12" t="s">
        <v>63</v>
      </c>
      <c r="S85" s="12"/>
    </row>
    <row r="86" spans="1:19" x14ac:dyDescent="0.25">
      <c r="A86" s="5" t="s">
        <v>221</v>
      </c>
      <c r="B86" s="5" t="s">
        <v>222</v>
      </c>
      <c r="C86" s="6">
        <v>19.600000000000001</v>
      </c>
      <c r="D86" s="6">
        <v>7.5</v>
      </c>
      <c r="E86" s="6">
        <v>4.2</v>
      </c>
      <c r="F86" s="6">
        <v>0.10199999999999999</v>
      </c>
      <c r="G86" s="5"/>
      <c r="H86" s="7" t="s">
        <v>61</v>
      </c>
      <c r="I86" s="5" t="s">
        <v>62</v>
      </c>
      <c r="J86" s="5" t="str">
        <f>IF(COUNTIF(packages_master!$A:$A,A86)&gt;0,"Y","N")</f>
        <v>N</v>
      </c>
      <c r="K86" s="5" t="str">
        <f t="shared" si="8"/>
        <v/>
      </c>
      <c r="L86" s="5" t="str">
        <f t="shared" si="9"/>
        <v/>
      </c>
      <c r="M86" s="5" t="str">
        <f t="shared" si="10"/>
        <v>NORMAL</v>
      </c>
      <c r="N86" s="5" t="str">
        <f t="shared" si="11"/>
        <v/>
      </c>
      <c r="O86" s="12"/>
      <c r="P86" s="12"/>
      <c r="Q86" s="12"/>
      <c r="R86" s="12" t="s">
        <v>63</v>
      </c>
      <c r="S86" s="12"/>
    </row>
    <row r="87" spans="1:19" x14ac:dyDescent="0.25">
      <c r="A87" s="5" t="s">
        <v>223</v>
      </c>
      <c r="B87" s="5" t="s">
        <v>224</v>
      </c>
      <c r="C87" s="6">
        <v>15.5</v>
      </c>
      <c r="D87" s="6">
        <v>7.2</v>
      </c>
      <c r="E87" s="8">
        <v>8</v>
      </c>
      <c r="F87" s="6">
        <v>0.28299999999999997</v>
      </c>
      <c r="G87" s="5"/>
      <c r="H87" s="7" t="s">
        <v>61</v>
      </c>
      <c r="I87" s="5" t="s">
        <v>62</v>
      </c>
      <c r="J87" s="5" t="str">
        <f>IF(COUNTIF(packages_master!$A:$A,A87)&gt;0,"Y","N")</f>
        <v>N</v>
      </c>
      <c r="K87" s="5" t="str">
        <f t="shared" si="8"/>
        <v/>
      </c>
      <c r="L87" s="5" t="str">
        <f t="shared" si="9"/>
        <v/>
      </c>
      <c r="M87" s="5" t="str">
        <f t="shared" si="10"/>
        <v>NORMAL</v>
      </c>
      <c r="N87" s="5" t="str">
        <f t="shared" si="11"/>
        <v/>
      </c>
      <c r="O87" s="12"/>
      <c r="P87" s="12"/>
      <c r="Q87" s="12"/>
      <c r="R87" s="12" t="s">
        <v>63</v>
      </c>
      <c r="S87" s="12"/>
    </row>
    <row r="88" spans="1:19" x14ac:dyDescent="0.25">
      <c r="A88" s="5" t="s">
        <v>225</v>
      </c>
      <c r="B88" s="5" t="s">
        <v>226</v>
      </c>
      <c r="C88" s="8">
        <v>17</v>
      </c>
      <c r="D88" s="6">
        <v>7.2</v>
      </c>
      <c r="E88" s="6">
        <v>4.5</v>
      </c>
      <c r="F88" s="6">
        <v>5.8999999999999997E-2</v>
      </c>
      <c r="G88" s="5"/>
      <c r="H88" s="7" t="s">
        <v>61</v>
      </c>
      <c r="I88" s="5" t="s">
        <v>62</v>
      </c>
      <c r="J88" s="5" t="str">
        <f>IF(COUNTIF(packages_master!$A:$A,A88)&gt;0,"Y","N")</f>
        <v>N</v>
      </c>
      <c r="K88" s="5" t="str">
        <f t="shared" si="8"/>
        <v/>
      </c>
      <c r="L88" s="5" t="str">
        <f t="shared" si="9"/>
        <v/>
      </c>
      <c r="M88" s="5" t="str">
        <f t="shared" si="10"/>
        <v>NORMAL</v>
      </c>
      <c r="N88" s="5" t="str">
        <f t="shared" si="11"/>
        <v/>
      </c>
      <c r="O88" s="12"/>
      <c r="P88" s="12"/>
      <c r="Q88" s="12"/>
      <c r="R88" s="12" t="s">
        <v>63</v>
      </c>
      <c r="S88" s="12"/>
    </row>
    <row r="89" spans="1:19" x14ac:dyDescent="0.25">
      <c r="A89" s="5" t="s">
        <v>227</v>
      </c>
      <c r="B89" s="5" t="s">
        <v>228</v>
      </c>
      <c r="C89" s="8">
        <v>17</v>
      </c>
      <c r="D89" s="6">
        <v>7.2</v>
      </c>
      <c r="E89" s="6">
        <v>4.5</v>
      </c>
      <c r="F89" s="6">
        <v>5.8999999999999997E-2</v>
      </c>
      <c r="G89" s="5"/>
      <c r="H89" s="7" t="s">
        <v>61</v>
      </c>
      <c r="I89" s="5" t="s">
        <v>62</v>
      </c>
      <c r="J89" s="5" t="str">
        <f>IF(COUNTIF(packages_master!$A:$A,A89)&gt;0,"Y","N")</f>
        <v>N</v>
      </c>
      <c r="K89" s="5" t="str">
        <f t="shared" si="8"/>
        <v/>
      </c>
      <c r="L89" s="5" t="str">
        <f t="shared" si="9"/>
        <v/>
      </c>
      <c r="M89" s="5" t="str">
        <f t="shared" si="10"/>
        <v>NORMAL</v>
      </c>
      <c r="N89" s="5" t="str">
        <f t="shared" si="11"/>
        <v/>
      </c>
      <c r="O89" s="12"/>
      <c r="P89" s="12"/>
      <c r="Q89" s="12"/>
      <c r="R89" s="12" t="s">
        <v>63</v>
      </c>
      <c r="S89" s="12"/>
    </row>
    <row r="90" spans="1:19" x14ac:dyDescent="0.25">
      <c r="A90" s="5" t="s">
        <v>229</v>
      </c>
      <c r="B90" s="5" t="s">
        <v>230</v>
      </c>
      <c r="C90" s="8">
        <v>17</v>
      </c>
      <c r="D90" s="6">
        <v>7.2</v>
      </c>
      <c r="E90" s="6">
        <v>4.5</v>
      </c>
      <c r="F90" s="6">
        <v>5.8999999999999997E-2</v>
      </c>
      <c r="G90" s="5"/>
      <c r="H90" s="7" t="s">
        <v>61</v>
      </c>
      <c r="I90" s="5" t="s">
        <v>62</v>
      </c>
      <c r="J90" s="5" t="str">
        <f>IF(COUNTIF(packages_master!$A:$A,A90)&gt;0,"Y","N")</f>
        <v>N</v>
      </c>
      <c r="K90" s="5" t="str">
        <f t="shared" si="8"/>
        <v/>
      </c>
      <c r="L90" s="5" t="str">
        <f t="shared" si="9"/>
        <v/>
      </c>
      <c r="M90" s="5" t="str">
        <f t="shared" si="10"/>
        <v>NORMAL</v>
      </c>
      <c r="N90" s="5" t="str">
        <f t="shared" si="11"/>
        <v/>
      </c>
      <c r="O90" s="12"/>
      <c r="P90" s="12"/>
      <c r="Q90" s="12"/>
      <c r="R90" s="12" t="s">
        <v>63</v>
      </c>
      <c r="S90" s="12"/>
    </row>
    <row r="91" spans="1:19" x14ac:dyDescent="0.25">
      <c r="A91" s="5" t="s">
        <v>231</v>
      </c>
      <c r="B91" s="5" t="s">
        <v>232</v>
      </c>
      <c r="C91" s="6">
        <v>8.1999999999999993</v>
      </c>
      <c r="D91" s="6">
        <v>3.5</v>
      </c>
      <c r="E91" s="8">
        <v>3</v>
      </c>
      <c r="F91" s="6">
        <v>1.9E-2</v>
      </c>
      <c r="G91" s="5"/>
      <c r="H91" s="7" t="s">
        <v>61</v>
      </c>
      <c r="I91" s="5" t="s">
        <v>62</v>
      </c>
      <c r="J91" s="5" t="str">
        <f>IF(COUNTIF(packages_master!$A:$A,A91)&gt;0,"Y","N")</f>
        <v>N</v>
      </c>
      <c r="K91" s="5" t="str">
        <f t="shared" si="8"/>
        <v/>
      </c>
      <c r="L91" s="5" t="str">
        <f t="shared" si="9"/>
        <v/>
      </c>
      <c r="M91" s="5" t="str">
        <f t="shared" si="10"/>
        <v>NORMAL</v>
      </c>
      <c r="N91" s="5" t="str">
        <f t="shared" si="11"/>
        <v/>
      </c>
      <c r="O91" s="12"/>
      <c r="P91" s="12"/>
      <c r="Q91" s="12"/>
      <c r="R91" s="12" t="s">
        <v>63</v>
      </c>
      <c r="S91" s="12"/>
    </row>
    <row r="92" spans="1:19" x14ac:dyDescent="0.25">
      <c r="A92" s="5" t="s">
        <v>233</v>
      </c>
      <c r="B92" s="5" t="s">
        <v>234</v>
      </c>
      <c r="C92" s="6">
        <v>22.9</v>
      </c>
      <c r="D92" s="6">
        <v>12.9</v>
      </c>
      <c r="E92" s="6">
        <v>2.9</v>
      </c>
      <c r="F92" s="6">
        <v>7.2999999999999995E-2</v>
      </c>
      <c r="G92" s="5"/>
      <c r="H92" s="7" t="s">
        <v>61</v>
      </c>
      <c r="I92" s="5" t="s">
        <v>62</v>
      </c>
      <c r="J92" s="5" t="str">
        <f>IF(COUNTIF(packages_master!$A:$A,A92)&gt;0,"Y","N")</f>
        <v>N</v>
      </c>
      <c r="K92" s="5" t="str">
        <f t="shared" si="8"/>
        <v/>
      </c>
      <c r="L92" s="5" t="str">
        <f t="shared" si="9"/>
        <v/>
      </c>
      <c r="M92" s="5" t="str">
        <f t="shared" si="10"/>
        <v>NORMAL</v>
      </c>
      <c r="N92" s="5" t="str">
        <f t="shared" si="11"/>
        <v/>
      </c>
      <c r="O92" s="12"/>
      <c r="P92" s="12"/>
      <c r="Q92" s="12"/>
      <c r="R92" s="12" t="s">
        <v>63</v>
      </c>
      <c r="S92" s="12"/>
    </row>
    <row r="93" spans="1:19" x14ac:dyDescent="0.25">
      <c r="A93" s="5" t="s">
        <v>235</v>
      </c>
      <c r="B93" s="5" t="s">
        <v>236</v>
      </c>
      <c r="C93" s="6">
        <v>18.2</v>
      </c>
      <c r="D93" s="6">
        <v>7.1</v>
      </c>
      <c r="E93" s="6">
        <v>2.9</v>
      </c>
      <c r="F93" s="6">
        <v>6.0999999999999999E-2</v>
      </c>
      <c r="G93" s="5"/>
      <c r="H93" s="7" t="s">
        <v>61</v>
      </c>
      <c r="I93" s="5" t="s">
        <v>62</v>
      </c>
      <c r="J93" s="5" t="str">
        <f>IF(COUNTIF(packages_master!$A:$A,A93)&gt;0,"Y","N")</f>
        <v>N</v>
      </c>
      <c r="K93" s="5" t="str">
        <f t="shared" si="8"/>
        <v/>
      </c>
      <c r="L93" s="5" t="str">
        <f t="shared" si="9"/>
        <v/>
      </c>
      <c r="M93" s="5" t="str">
        <f t="shared" si="10"/>
        <v>NORMAL</v>
      </c>
      <c r="N93" s="5" t="str">
        <f t="shared" si="11"/>
        <v/>
      </c>
      <c r="O93" s="12"/>
      <c r="P93" s="12"/>
      <c r="Q93" s="12"/>
      <c r="R93" s="12" t="s">
        <v>63</v>
      </c>
      <c r="S93" s="12"/>
    </row>
    <row r="94" spans="1:19" x14ac:dyDescent="0.25">
      <c r="A94" s="5" t="s">
        <v>237</v>
      </c>
      <c r="B94" s="5" t="s">
        <v>238</v>
      </c>
      <c r="C94" s="6">
        <v>18.2</v>
      </c>
      <c r="D94" s="6">
        <v>7.1</v>
      </c>
      <c r="E94" s="6">
        <v>2.9</v>
      </c>
      <c r="F94" s="6">
        <v>0.06</v>
      </c>
      <c r="G94" s="5"/>
      <c r="H94" s="7" t="s">
        <v>61</v>
      </c>
      <c r="I94" s="5" t="s">
        <v>62</v>
      </c>
      <c r="J94" s="5" t="str">
        <f>IF(COUNTIF(packages_master!$A:$A,A94)&gt;0,"Y","N")</f>
        <v>N</v>
      </c>
      <c r="K94" s="5" t="str">
        <f t="shared" si="8"/>
        <v/>
      </c>
      <c r="L94" s="5" t="str">
        <f t="shared" si="9"/>
        <v/>
      </c>
      <c r="M94" s="5" t="str">
        <f t="shared" si="10"/>
        <v>NORMAL</v>
      </c>
      <c r="N94" s="5" t="str">
        <f t="shared" si="11"/>
        <v/>
      </c>
      <c r="O94" s="12"/>
      <c r="P94" s="12"/>
      <c r="Q94" s="12"/>
      <c r="R94" s="12" t="s">
        <v>63</v>
      </c>
      <c r="S94" s="12"/>
    </row>
    <row r="95" spans="1:19" x14ac:dyDescent="0.25">
      <c r="A95" s="5" t="s">
        <v>239</v>
      </c>
      <c r="B95" s="5" t="s">
        <v>240</v>
      </c>
      <c r="C95" s="6">
        <v>18.2</v>
      </c>
      <c r="D95" s="6">
        <v>7.1</v>
      </c>
      <c r="E95" s="6">
        <v>2.9</v>
      </c>
      <c r="F95" s="6">
        <v>5.8000000000000003E-2</v>
      </c>
      <c r="G95" s="5"/>
      <c r="H95" s="7" t="s">
        <v>61</v>
      </c>
      <c r="I95" s="5" t="s">
        <v>62</v>
      </c>
      <c r="J95" s="5" t="str">
        <f>IF(COUNTIF(packages_master!$A:$A,A95)&gt;0,"Y","N")</f>
        <v>N</v>
      </c>
      <c r="K95" s="5" t="str">
        <f t="shared" si="8"/>
        <v/>
      </c>
      <c r="L95" s="5" t="str">
        <f t="shared" si="9"/>
        <v/>
      </c>
      <c r="M95" s="5" t="str">
        <f t="shared" si="10"/>
        <v>NORMAL</v>
      </c>
      <c r="N95" s="5" t="str">
        <f t="shared" si="11"/>
        <v/>
      </c>
      <c r="O95" s="12"/>
      <c r="P95" s="12"/>
      <c r="Q95" s="12"/>
      <c r="R95" s="12" t="s">
        <v>63</v>
      </c>
      <c r="S95" s="12"/>
    </row>
    <row r="96" spans="1:19" x14ac:dyDescent="0.25">
      <c r="A96" s="5" t="s">
        <v>241</v>
      </c>
      <c r="B96" s="5" t="s">
        <v>242</v>
      </c>
      <c r="C96" s="6">
        <v>19.2</v>
      </c>
      <c r="D96" s="6">
        <v>7.2</v>
      </c>
      <c r="E96" s="8">
        <v>3</v>
      </c>
      <c r="F96" s="6">
        <v>6.2E-2</v>
      </c>
      <c r="G96" s="5"/>
      <c r="H96" s="7" t="s">
        <v>61</v>
      </c>
      <c r="I96" s="5" t="s">
        <v>62</v>
      </c>
      <c r="J96" s="5" t="str">
        <f>IF(COUNTIF(packages_master!$A:$A,A96)&gt;0,"Y","N")</f>
        <v>N</v>
      </c>
      <c r="K96" s="5" t="str">
        <f t="shared" si="8"/>
        <v/>
      </c>
      <c r="L96" s="5" t="str">
        <f t="shared" si="9"/>
        <v/>
      </c>
      <c r="M96" s="5" t="str">
        <f t="shared" si="10"/>
        <v>NORMAL</v>
      </c>
      <c r="N96" s="5" t="str">
        <f t="shared" si="11"/>
        <v/>
      </c>
      <c r="O96" s="12"/>
      <c r="P96" s="12"/>
      <c r="Q96" s="12"/>
      <c r="R96" s="12" t="s">
        <v>63</v>
      </c>
      <c r="S96" s="12"/>
    </row>
    <row r="97" spans="1:19" x14ac:dyDescent="0.25">
      <c r="A97" s="5" t="s">
        <v>243</v>
      </c>
      <c r="B97" s="5" t="s">
        <v>244</v>
      </c>
      <c r="C97" s="6">
        <v>19.2</v>
      </c>
      <c r="D97" s="6">
        <v>7.2</v>
      </c>
      <c r="E97" s="8">
        <v>3</v>
      </c>
      <c r="F97" s="6">
        <v>6.2E-2</v>
      </c>
      <c r="G97" s="5"/>
      <c r="H97" s="7" t="s">
        <v>61</v>
      </c>
      <c r="I97" s="5" t="s">
        <v>62</v>
      </c>
      <c r="J97" s="5" t="str">
        <f>IF(COUNTIF(packages_master!$A:$A,A97)&gt;0,"Y","N")</f>
        <v>N</v>
      </c>
      <c r="K97" s="5" t="str">
        <f t="shared" si="8"/>
        <v/>
      </c>
      <c r="L97" s="5" t="str">
        <f t="shared" si="9"/>
        <v/>
      </c>
      <c r="M97" s="5" t="str">
        <f t="shared" si="10"/>
        <v>NORMAL</v>
      </c>
      <c r="N97" s="5" t="str">
        <f t="shared" si="11"/>
        <v/>
      </c>
      <c r="O97" s="12"/>
      <c r="P97" s="12"/>
      <c r="Q97" s="12"/>
      <c r="R97" s="12" t="s">
        <v>63</v>
      </c>
      <c r="S97" s="12"/>
    </row>
    <row r="98" spans="1:19" x14ac:dyDescent="0.25">
      <c r="A98" s="5" t="s">
        <v>245</v>
      </c>
      <c r="B98" s="5" t="s">
        <v>246</v>
      </c>
      <c r="C98" s="6">
        <v>19.2</v>
      </c>
      <c r="D98" s="6">
        <v>7.2</v>
      </c>
      <c r="E98" s="8">
        <v>3</v>
      </c>
      <c r="F98" s="6">
        <v>6.2E-2</v>
      </c>
      <c r="G98" s="5"/>
      <c r="H98" s="7" t="s">
        <v>61</v>
      </c>
      <c r="I98" s="5" t="s">
        <v>62</v>
      </c>
      <c r="J98" s="5" t="str">
        <f>IF(COUNTIF(packages_master!$A:$A,A98)&gt;0,"Y","N")</f>
        <v>N</v>
      </c>
      <c r="K98" s="5" t="str">
        <f t="shared" si="8"/>
        <v/>
      </c>
      <c r="L98" s="5" t="str">
        <f t="shared" si="9"/>
        <v/>
      </c>
      <c r="M98" s="5" t="str">
        <f t="shared" si="10"/>
        <v>NORMAL</v>
      </c>
      <c r="N98" s="5" t="str">
        <f t="shared" si="11"/>
        <v/>
      </c>
      <c r="O98" s="12"/>
      <c r="P98" s="12"/>
      <c r="Q98" s="12"/>
      <c r="R98" s="12" t="s">
        <v>63</v>
      </c>
      <c r="S98" s="12"/>
    </row>
    <row r="99" spans="1:19" x14ac:dyDescent="0.25">
      <c r="A99" s="5" t="s">
        <v>247</v>
      </c>
      <c r="B99" s="5" t="s">
        <v>248</v>
      </c>
      <c r="C99" s="6">
        <v>19.5</v>
      </c>
      <c r="D99" s="6">
        <v>7.2</v>
      </c>
      <c r="E99" s="6">
        <v>2.8</v>
      </c>
      <c r="F99" s="6">
        <v>4.2999999999999997E-2</v>
      </c>
      <c r="G99" s="5"/>
      <c r="H99" s="7" t="s">
        <v>61</v>
      </c>
      <c r="I99" s="5" t="s">
        <v>62</v>
      </c>
      <c r="J99" s="5" t="str">
        <f>IF(COUNTIF(packages_master!$A:$A,A99)&gt;0,"Y","N")</f>
        <v>N</v>
      </c>
      <c r="K99" s="5" t="str">
        <f t="shared" si="8"/>
        <v/>
      </c>
      <c r="L99" s="5" t="str">
        <f t="shared" si="9"/>
        <v/>
      </c>
      <c r="M99" s="5" t="str">
        <f t="shared" si="10"/>
        <v>NORMAL</v>
      </c>
      <c r="N99" s="5" t="str">
        <f t="shared" si="11"/>
        <v/>
      </c>
      <c r="O99" s="12"/>
      <c r="P99" s="12"/>
      <c r="Q99" s="12"/>
      <c r="R99" s="12" t="s">
        <v>63</v>
      </c>
      <c r="S99" s="12"/>
    </row>
    <row r="100" spans="1:19" x14ac:dyDescent="0.25">
      <c r="A100" s="5" t="s">
        <v>249</v>
      </c>
      <c r="B100" s="5" t="s">
        <v>250</v>
      </c>
      <c r="C100" s="6">
        <v>19.5</v>
      </c>
      <c r="D100" s="6">
        <v>7.2</v>
      </c>
      <c r="E100" s="6">
        <v>2.8</v>
      </c>
      <c r="F100" s="6">
        <v>4.2999999999999997E-2</v>
      </c>
      <c r="G100" s="5"/>
      <c r="H100" s="7" t="s">
        <v>61</v>
      </c>
      <c r="I100" s="5" t="s">
        <v>62</v>
      </c>
      <c r="J100" s="5" t="str">
        <f>IF(COUNTIF(packages_master!$A:$A,A100)&gt;0,"Y","N")</f>
        <v>N</v>
      </c>
      <c r="K100" s="5" t="str">
        <f t="shared" si="8"/>
        <v/>
      </c>
      <c r="L100" s="5" t="str">
        <f t="shared" si="9"/>
        <v/>
      </c>
      <c r="M100" s="5" t="str">
        <f t="shared" si="10"/>
        <v>NORMAL</v>
      </c>
      <c r="N100" s="5" t="str">
        <f t="shared" si="11"/>
        <v/>
      </c>
      <c r="O100" s="12"/>
      <c r="P100" s="12"/>
      <c r="Q100" s="12"/>
      <c r="R100" s="12" t="s">
        <v>63</v>
      </c>
      <c r="S100" s="12"/>
    </row>
    <row r="101" spans="1:19" x14ac:dyDescent="0.25">
      <c r="A101" s="5" t="s">
        <v>251</v>
      </c>
      <c r="B101" s="5" t="s">
        <v>252</v>
      </c>
      <c r="C101" s="6">
        <v>19.5</v>
      </c>
      <c r="D101" s="6">
        <v>7.2</v>
      </c>
      <c r="E101" s="6">
        <v>2.8</v>
      </c>
      <c r="F101" s="6">
        <v>4.2999999999999997E-2</v>
      </c>
      <c r="G101" s="5"/>
      <c r="H101" s="7" t="s">
        <v>61</v>
      </c>
      <c r="I101" s="5" t="s">
        <v>62</v>
      </c>
      <c r="J101" s="5" t="str">
        <f>IF(COUNTIF(packages_master!$A:$A,A101)&gt;0,"Y","N")</f>
        <v>N</v>
      </c>
      <c r="K101" s="5" t="str">
        <f t="shared" si="8"/>
        <v/>
      </c>
      <c r="L101" s="5" t="str">
        <f t="shared" si="9"/>
        <v/>
      </c>
      <c r="M101" s="5" t="str">
        <f t="shared" si="10"/>
        <v>NORMAL</v>
      </c>
      <c r="N101" s="5" t="str">
        <f t="shared" si="11"/>
        <v/>
      </c>
      <c r="O101" s="12"/>
      <c r="P101" s="12"/>
      <c r="Q101" s="12"/>
      <c r="R101" s="12" t="s">
        <v>63</v>
      </c>
      <c r="S101" s="12"/>
    </row>
    <row r="102" spans="1:19" x14ac:dyDescent="0.25">
      <c r="A102" s="5" t="s">
        <v>253</v>
      </c>
      <c r="B102" s="5" t="s">
        <v>254</v>
      </c>
      <c r="C102" s="6">
        <v>19.5</v>
      </c>
      <c r="D102" s="6">
        <v>7.5</v>
      </c>
      <c r="E102" s="6">
        <v>3.2</v>
      </c>
      <c r="F102" s="6">
        <v>0.09</v>
      </c>
      <c r="G102" s="5"/>
      <c r="H102" s="7" t="s">
        <v>61</v>
      </c>
      <c r="I102" s="5" t="s">
        <v>62</v>
      </c>
      <c r="J102" s="5" t="str">
        <f>IF(COUNTIF(packages_master!$A:$A,A102)&gt;0,"Y","N")</f>
        <v>N</v>
      </c>
      <c r="K102" s="5" t="str">
        <f t="shared" si="8"/>
        <v/>
      </c>
      <c r="L102" s="5" t="str">
        <f t="shared" si="9"/>
        <v/>
      </c>
      <c r="M102" s="5" t="str">
        <f t="shared" si="10"/>
        <v>NORMAL</v>
      </c>
      <c r="N102" s="5" t="str">
        <f t="shared" si="11"/>
        <v/>
      </c>
      <c r="O102" s="12"/>
      <c r="P102" s="12"/>
      <c r="Q102" s="12"/>
      <c r="R102" s="12" t="s">
        <v>63</v>
      </c>
      <c r="S102" s="12"/>
    </row>
    <row r="103" spans="1:19" x14ac:dyDescent="0.25">
      <c r="A103" s="5" t="s">
        <v>255</v>
      </c>
      <c r="B103" s="5" t="s">
        <v>256</v>
      </c>
      <c r="C103" s="6">
        <v>19.5</v>
      </c>
      <c r="D103" s="6">
        <v>7.5</v>
      </c>
      <c r="E103" s="6">
        <v>3.2</v>
      </c>
      <c r="F103" s="6">
        <v>0.09</v>
      </c>
      <c r="G103" s="5"/>
      <c r="H103" s="7" t="s">
        <v>61</v>
      </c>
      <c r="I103" s="5" t="s">
        <v>62</v>
      </c>
      <c r="J103" s="5" t="str">
        <f>IF(COUNTIF(packages_master!$A:$A,A103)&gt;0,"Y","N")</f>
        <v>N</v>
      </c>
      <c r="K103" s="5" t="str">
        <f t="shared" si="8"/>
        <v/>
      </c>
      <c r="L103" s="5" t="str">
        <f t="shared" si="9"/>
        <v/>
      </c>
      <c r="M103" s="5" t="str">
        <f t="shared" si="10"/>
        <v>NORMAL</v>
      </c>
      <c r="N103" s="5" t="str">
        <f t="shared" si="11"/>
        <v/>
      </c>
      <c r="O103" s="12"/>
      <c r="P103" s="12"/>
      <c r="Q103" s="12"/>
      <c r="R103" s="12" t="s">
        <v>63</v>
      </c>
      <c r="S103" s="12"/>
    </row>
    <row r="104" spans="1:19" x14ac:dyDescent="0.25">
      <c r="A104" s="5" t="s">
        <v>257</v>
      </c>
      <c r="B104" s="5" t="s">
        <v>258</v>
      </c>
      <c r="C104" s="6">
        <v>21.3</v>
      </c>
      <c r="D104" s="6">
        <v>6.3</v>
      </c>
      <c r="E104" s="6">
        <v>2.6</v>
      </c>
      <c r="F104" s="6">
        <v>4.9000000000000002E-2</v>
      </c>
      <c r="G104" s="5"/>
      <c r="H104" s="7" t="s">
        <v>61</v>
      </c>
      <c r="I104" s="5" t="s">
        <v>62</v>
      </c>
      <c r="J104" s="5" t="str">
        <f>IF(COUNTIF(packages_master!$A:$A,A104)&gt;0,"Y","N")</f>
        <v>N</v>
      </c>
      <c r="K104" s="5" t="str">
        <f t="shared" si="8"/>
        <v/>
      </c>
      <c r="L104" s="5" t="str">
        <f t="shared" si="9"/>
        <v/>
      </c>
      <c r="M104" s="5" t="str">
        <f t="shared" si="10"/>
        <v>NORMAL</v>
      </c>
      <c r="N104" s="5" t="str">
        <f t="shared" si="11"/>
        <v/>
      </c>
      <c r="O104" s="12"/>
      <c r="P104" s="12"/>
      <c r="Q104" s="12"/>
      <c r="R104" s="12" t="s">
        <v>63</v>
      </c>
      <c r="S104" s="12"/>
    </row>
    <row r="105" spans="1:19" x14ac:dyDescent="0.25">
      <c r="A105" s="5" t="s">
        <v>259</v>
      </c>
      <c r="B105" s="5" t="s">
        <v>260</v>
      </c>
      <c r="C105" s="6">
        <v>19.5</v>
      </c>
      <c r="D105" s="6">
        <v>7.5</v>
      </c>
      <c r="E105" s="6">
        <v>3.2</v>
      </c>
      <c r="F105" s="6">
        <v>7.9000000000000001E-2</v>
      </c>
      <c r="G105" s="5"/>
      <c r="H105" s="7" t="s">
        <v>61</v>
      </c>
      <c r="I105" s="5" t="s">
        <v>62</v>
      </c>
      <c r="J105" s="5" t="str">
        <f>IF(COUNTIF(packages_master!$A:$A,A105)&gt;0,"Y","N")</f>
        <v>N</v>
      </c>
      <c r="K105" s="5" t="str">
        <f t="shared" si="8"/>
        <v/>
      </c>
      <c r="L105" s="5" t="str">
        <f t="shared" si="9"/>
        <v/>
      </c>
      <c r="M105" s="5" t="str">
        <f t="shared" si="10"/>
        <v>NORMAL</v>
      </c>
      <c r="N105" s="5" t="str">
        <f t="shared" si="11"/>
        <v/>
      </c>
      <c r="O105" s="12"/>
      <c r="P105" s="12"/>
      <c r="Q105" s="12"/>
      <c r="R105" s="12" t="s">
        <v>63</v>
      </c>
      <c r="S105" s="12"/>
    </row>
    <row r="106" spans="1:19" x14ac:dyDescent="0.25">
      <c r="A106" s="5" t="s">
        <v>261</v>
      </c>
      <c r="B106" s="5" t="s">
        <v>262</v>
      </c>
      <c r="C106" s="6">
        <v>19.5</v>
      </c>
      <c r="D106" s="6">
        <v>7.5</v>
      </c>
      <c r="E106" s="6">
        <v>3.2</v>
      </c>
      <c r="F106" s="6">
        <v>8.8999999999999996E-2</v>
      </c>
      <c r="G106" s="5"/>
      <c r="H106" s="7" t="s">
        <v>61</v>
      </c>
      <c r="I106" s="5" t="s">
        <v>62</v>
      </c>
      <c r="J106" s="5" t="str">
        <f>IF(COUNTIF(packages_master!$A:$A,A106)&gt;0,"Y","N")</f>
        <v>N</v>
      </c>
      <c r="K106" s="5" t="str">
        <f t="shared" si="8"/>
        <v/>
      </c>
      <c r="L106" s="5" t="str">
        <f t="shared" si="9"/>
        <v/>
      </c>
      <c r="M106" s="5" t="str">
        <f t="shared" si="10"/>
        <v>NORMAL</v>
      </c>
      <c r="N106" s="5" t="str">
        <f t="shared" si="11"/>
        <v/>
      </c>
      <c r="O106" s="12"/>
      <c r="P106" s="12"/>
      <c r="Q106" s="12"/>
      <c r="R106" s="12" t="s">
        <v>63</v>
      </c>
      <c r="S106" s="12"/>
    </row>
    <row r="107" spans="1:19" x14ac:dyDescent="0.25">
      <c r="A107" s="5" t="s">
        <v>263</v>
      </c>
      <c r="B107" s="5" t="s">
        <v>264</v>
      </c>
      <c r="C107" s="6">
        <v>21.3</v>
      </c>
      <c r="D107" s="6">
        <v>6.3</v>
      </c>
      <c r="E107" s="6">
        <v>2.6</v>
      </c>
      <c r="F107" s="6">
        <v>5.0999999999999997E-2</v>
      </c>
      <c r="G107" s="5"/>
      <c r="H107" s="7" t="s">
        <v>61</v>
      </c>
      <c r="I107" s="5" t="s">
        <v>62</v>
      </c>
      <c r="J107" s="5" t="str">
        <f>IF(COUNTIF(packages_master!$A:$A,A107)&gt;0,"Y","N")</f>
        <v>N</v>
      </c>
      <c r="K107" s="5" t="str">
        <f t="shared" si="8"/>
        <v/>
      </c>
      <c r="L107" s="5" t="str">
        <f t="shared" si="9"/>
        <v/>
      </c>
      <c r="M107" s="5" t="str">
        <f t="shared" si="10"/>
        <v>NORMAL</v>
      </c>
      <c r="N107" s="5" t="str">
        <f t="shared" si="11"/>
        <v/>
      </c>
      <c r="O107" s="12"/>
      <c r="P107" s="12"/>
      <c r="Q107" s="12"/>
      <c r="R107" s="12" t="s">
        <v>63</v>
      </c>
      <c r="S107" s="12"/>
    </row>
    <row r="108" spans="1:19" x14ac:dyDescent="0.25">
      <c r="A108" s="5" t="s">
        <v>265</v>
      </c>
      <c r="B108" s="5" t="s">
        <v>266</v>
      </c>
      <c r="C108" s="6">
        <v>19.3</v>
      </c>
      <c r="D108" s="6">
        <v>7.1</v>
      </c>
      <c r="E108" s="6">
        <v>2.6</v>
      </c>
      <c r="F108" s="6">
        <v>4.7E-2</v>
      </c>
      <c r="G108" s="5"/>
      <c r="H108" s="7" t="s">
        <v>61</v>
      </c>
      <c r="I108" s="5" t="s">
        <v>62</v>
      </c>
      <c r="J108" s="5" t="str">
        <f>IF(COUNTIF(packages_master!$A:$A,A108)&gt;0,"Y","N")</f>
        <v>N</v>
      </c>
      <c r="K108" s="5" t="str">
        <f t="shared" si="8"/>
        <v/>
      </c>
      <c r="L108" s="5" t="str">
        <f t="shared" si="9"/>
        <v/>
      </c>
      <c r="M108" s="5" t="str">
        <f t="shared" si="10"/>
        <v>NORMAL</v>
      </c>
      <c r="N108" s="5" t="str">
        <f t="shared" si="11"/>
        <v/>
      </c>
      <c r="O108" s="12"/>
      <c r="P108" s="12"/>
      <c r="Q108" s="12"/>
      <c r="R108" s="12" t="s">
        <v>63</v>
      </c>
      <c r="S108" s="12"/>
    </row>
    <row r="109" spans="1:19" x14ac:dyDescent="0.25">
      <c r="A109" s="5" t="s">
        <v>267</v>
      </c>
      <c r="B109" s="5" t="s">
        <v>268</v>
      </c>
      <c r="C109" s="6">
        <v>19.3</v>
      </c>
      <c r="D109" s="6">
        <v>7.1</v>
      </c>
      <c r="E109" s="6">
        <v>2.6</v>
      </c>
      <c r="F109" s="6">
        <v>4.7E-2</v>
      </c>
      <c r="G109" s="5"/>
      <c r="H109" s="7" t="s">
        <v>61</v>
      </c>
      <c r="I109" s="5" t="s">
        <v>62</v>
      </c>
      <c r="J109" s="5" t="str">
        <f>IF(COUNTIF(packages_master!$A:$A,A109)&gt;0,"Y","N")</f>
        <v>N</v>
      </c>
      <c r="K109" s="5" t="str">
        <f t="shared" si="8"/>
        <v/>
      </c>
      <c r="L109" s="5" t="str">
        <f t="shared" si="9"/>
        <v/>
      </c>
      <c r="M109" s="5" t="str">
        <f t="shared" si="10"/>
        <v>NORMAL</v>
      </c>
      <c r="N109" s="5" t="str">
        <f t="shared" si="11"/>
        <v/>
      </c>
      <c r="O109" s="12"/>
      <c r="P109" s="12"/>
      <c r="Q109" s="12"/>
      <c r="R109" s="12" t="s">
        <v>63</v>
      </c>
      <c r="S109" s="12"/>
    </row>
    <row r="110" spans="1:19" x14ac:dyDescent="0.25">
      <c r="A110" s="5" t="s">
        <v>269</v>
      </c>
      <c r="B110" s="5" t="s">
        <v>270</v>
      </c>
      <c r="C110" s="6">
        <v>19.3</v>
      </c>
      <c r="D110" s="6">
        <v>7.1</v>
      </c>
      <c r="E110" s="6">
        <v>2.6</v>
      </c>
      <c r="F110" s="6">
        <v>4.8000000000000001E-2</v>
      </c>
      <c r="G110" s="5"/>
      <c r="H110" s="7" t="s">
        <v>61</v>
      </c>
      <c r="I110" s="5" t="s">
        <v>62</v>
      </c>
      <c r="J110" s="5" t="str">
        <f>IF(COUNTIF(packages_master!$A:$A,A110)&gt;0,"Y","N")</f>
        <v>N</v>
      </c>
      <c r="K110" s="5" t="str">
        <f t="shared" si="8"/>
        <v/>
      </c>
      <c r="L110" s="5" t="str">
        <f t="shared" si="9"/>
        <v/>
      </c>
      <c r="M110" s="5" t="str">
        <f t="shared" si="10"/>
        <v>NORMAL</v>
      </c>
      <c r="N110" s="5" t="str">
        <f t="shared" si="11"/>
        <v/>
      </c>
      <c r="O110" s="12"/>
      <c r="P110" s="12"/>
      <c r="Q110" s="12"/>
      <c r="R110" s="12" t="s">
        <v>63</v>
      </c>
      <c r="S110" s="12"/>
    </row>
    <row r="111" spans="1:19" x14ac:dyDescent="0.25">
      <c r="A111" s="5" t="s">
        <v>271</v>
      </c>
      <c r="B111" s="5" t="s">
        <v>272</v>
      </c>
      <c r="C111" s="6">
        <v>19.3</v>
      </c>
      <c r="D111" s="6">
        <v>7.1</v>
      </c>
      <c r="E111" s="6">
        <v>2.6</v>
      </c>
      <c r="F111" s="6">
        <v>4.7E-2</v>
      </c>
      <c r="G111" s="5"/>
      <c r="H111" s="7" t="s">
        <v>61</v>
      </c>
      <c r="I111" s="5" t="s">
        <v>62</v>
      </c>
      <c r="J111" s="5" t="str">
        <f>IF(COUNTIF(packages_master!$A:$A,A111)&gt;0,"Y","N")</f>
        <v>N</v>
      </c>
      <c r="K111" s="5" t="str">
        <f t="shared" si="8"/>
        <v/>
      </c>
      <c r="L111" s="5" t="str">
        <f t="shared" si="9"/>
        <v/>
      </c>
      <c r="M111" s="5" t="str">
        <f t="shared" si="10"/>
        <v>NORMAL</v>
      </c>
      <c r="N111" s="5" t="str">
        <f t="shared" si="11"/>
        <v/>
      </c>
      <c r="O111" s="12"/>
      <c r="P111" s="12"/>
      <c r="Q111" s="12"/>
      <c r="R111" s="12" t="s">
        <v>63</v>
      </c>
      <c r="S111" s="12"/>
    </row>
    <row r="112" spans="1:19" x14ac:dyDescent="0.25">
      <c r="A112" s="5" t="s">
        <v>273</v>
      </c>
      <c r="B112" s="5" t="s">
        <v>274</v>
      </c>
      <c r="C112" s="6">
        <v>19.3</v>
      </c>
      <c r="D112" s="6">
        <v>7.1</v>
      </c>
      <c r="E112" s="6">
        <v>2.6</v>
      </c>
      <c r="F112" s="6">
        <v>4.7E-2</v>
      </c>
      <c r="G112" s="5"/>
      <c r="H112" s="7" t="s">
        <v>61</v>
      </c>
      <c r="I112" s="5" t="s">
        <v>62</v>
      </c>
      <c r="J112" s="5" t="str">
        <f>IF(COUNTIF(packages_master!$A:$A,A112)&gt;0,"Y","N")</f>
        <v>N</v>
      </c>
      <c r="K112" s="5" t="str">
        <f t="shared" si="8"/>
        <v/>
      </c>
      <c r="L112" s="5" t="str">
        <f t="shared" si="9"/>
        <v/>
      </c>
      <c r="M112" s="5" t="str">
        <f t="shared" si="10"/>
        <v>NORMAL</v>
      </c>
      <c r="N112" s="5" t="str">
        <f t="shared" si="11"/>
        <v/>
      </c>
      <c r="O112" s="12"/>
      <c r="P112" s="12"/>
      <c r="Q112" s="12"/>
      <c r="R112" s="12" t="s">
        <v>63</v>
      </c>
      <c r="S112" s="12"/>
    </row>
    <row r="113" spans="1:19" x14ac:dyDescent="0.25">
      <c r="A113" s="5" t="s">
        <v>275</v>
      </c>
      <c r="B113" s="5" t="s">
        <v>276</v>
      </c>
      <c r="C113" s="6">
        <v>19.3</v>
      </c>
      <c r="D113" s="6">
        <v>7.1</v>
      </c>
      <c r="E113" s="6">
        <v>2.6</v>
      </c>
      <c r="F113" s="6">
        <v>4.8000000000000001E-2</v>
      </c>
      <c r="G113" s="5"/>
      <c r="H113" s="7" t="s">
        <v>61</v>
      </c>
      <c r="I113" s="5" t="s">
        <v>62</v>
      </c>
      <c r="J113" s="5" t="str">
        <f>IF(COUNTIF(packages_master!$A:$A,A113)&gt;0,"Y","N")</f>
        <v>N</v>
      </c>
      <c r="K113" s="5" t="str">
        <f t="shared" si="8"/>
        <v/>
      </c>
      <c r="L113" s="5" t="str">
        <f t="shared" si="9"/>
        <v/>
      </c>
      <c r="M113" s="5" t="str">
        <f t="shared" si="10"/>
        <v>NORMAL</v>
      </c>
      <c r="N113" s="5" t="str">
        <f t="shared" si="11"/>
        <v/>
      </c>
      <c r="O113" s="12"/>
      <c r="P113" s="12"/>
      <c r="Q113" s="12"/>
      <c r="R113" s="12" t="s">
        <v>63</v>
      </c>
      <c r="S113" s="12"/>
    </row>
    <row r="114" spans="1:19" x14ac:dyDescent="0.25">
      <c r="A114" s="5" t="s">
        <v>277</v>
      </c>
      <c r="B114" s="5" t="s">
        <v>278</v>
      </c>
      <c r="C114" s="6">
        <v>16.600000000000001</v>
      </c>
      <c r="D114" s="6">
        <v>7.6</v>
      </c>
      <c r="E114" s="6">
        <v>4.3</v>
      </c>
      <c r="F114" s="6">
        <v>9.1999999999999998E-2</v>
      </c>
      <c r="G114" s="5"/>
      <c r="H114" s="7" t="s">
        <v>61</v>
      </c>
      <c r="I114" s="5" t="s">
        <v>62</v>
      </c>
      <c r="J114" s="5" t="str">
        <f>IF(COUNTIF(packages_master!$A:$A,A114)&gt;0,"Y","N")</f>
        <v>N</v>
      </c>
      <c r="K114" s="5" t="str">
        <f t="shared" si="8"/>
        <v/>
      </c>
      <c r="L114" s="5" t="str">
        <f t="shared" si="9"/>
        <v/>
      </c>
      <c r="M114" s="5" t="str">
        <f t="shared" si="10"/>
        <v>NORMAL</v>
      </c>
      <c r="N114" s="5" t="str">
        <f t="shared" si="11"/>
        <v/>
      </c>
      <c r="O114" s="12"/>
      <c r="P114" s="12"/>
      <c r="Q114" s="12"/>
      <c r="R114" s="12" t="s">
        <v>63</v>
      </c>
      <c r="S114" s="12"/>
    </row>
    <row r="115" spans="1:19" x14ac:dyDescent="0.25">
      <c r="A115" s="5" t="s">
        <v>279</v>
      </c>
      <c r="B115" s="5" t="s">
        <v>280</v>
      </c>
      <c r="C115" s="6">
        <v>16.600000000000001</v>
      </c>
      <c r="D115" s="6">
        <v>7.6</v>
      </c>
      <c r="E115" s="6">
        <v>4.3</v>
      </c>
      <c r="F115" s="6">
        <v>9.0999999999999998E-2</v>
      </c>
      <c r="G115" s="5"/>
      <c r="H115" s="7" t="s">
        <v>61</v>
      </c>
      <c r="I115" s="5" t="s">
        <v>62</v>
      </c>
      <c r="J115" s="5" t="str">
        <f>IF(COUNTIF(packages_master!$A:$A,A115)&gt;0,"Y","N")</f>
        <v>N</v>
      </c>
      <c r="K115" s="5" t="str">
        <f t="shared" si="8"/>
        <v/>
      </c>
      <c r="L115" s="5" t="str">
        <f t="shared" si="9"/>
        <v/>
      </c>
      <c r="M115" s="5" t="str">
        <f t="shared" si="10"/>
        <v>NORMAL</v>
      </c>
      <c r="N115" s="5" t="str">
        <f t="shared" si="11"/>
        <v/>
      </c>
      <c r="O115" s="12"/>
      <c r="P115" s="12"/>
      <c r="Q115" s="12"/>
      <c r="R115" s="12" t="s">
        <v>63</v>
      </c>
      <c r="S115" s="12"/>
    </row>
    <row r="116" spans="1:19" x14ac:dyDescent="0.25">
      <c r="A116" s="5" t="s">
        <v>281</v>
      </c>
      <c r="B116" s="5" t="s">
        <v>282</v>
      </c>
      <c r="C116" s="6">
        <v>18.399999999999999</v>
      </c>
      <c r="D116" s="6">
        <v>5.5</v>
      </c>
      <c r="E116" s="6">
        <v>7.6</v>
      </c>
      <c r="F116" s="6">
        <v>0.23699999999999999</v>
      </c>
      <c r="G116" s="5"/>
      <c r="H116" s="7" t="s">
        <v>61</v>
      </c>
      <c r="I116" s="5" t="s">
        <v>62</v>
      </c>
      <c r="J116" s="5" t="str">
        <f>IF(COUNTIF(packages_master!$A:$A,A116)&gt;0,"Y","N")</f>
        <v>N</v>
      </c>
      <c r="K116" s="5" t="str">
        <f t="shared" si="8"/>
        <v/>
      </c>
      <c r="L116" s="5" t="str">
        <f t="shared" si="9"/>
        <v/>
      </c>
      <c r="M116" s="5" t="str">
        <f t="shared" si="10"/>
        <v>NORMAL</v>
      </c>
      <c r="N116" s="5" t="str">
        <f t="shared" si="11"/>
        <v/>
      </c>
      <c r="O116" s="12"/>
      <c r="P116" s="12"/>
      <c r="Q116" s="12"/>
      <c r="R116" s="12" t="s">
        <v>63</v>
      </c>
      <c r="S116" s="12"/>
    </row>
    <row r="117" spans="1:19" x14ac:dyDescent="0.25">
      <c r="A117" s="5" t="s">
        <v>283</v>
      </c>
      <c r="B117" s="5" t="s">
        <v>284</v>
      </c>
      <c r="C117" s="6">
        <v>11.4</v>
      </c>
      <c r="D117" s="6">
        <v>5.9</v>
      </c>
      <c r="E117" s="6">
        <v>4.7</v>
      </c>
      <c r="F117" s="6">
        <v>0.152</v>
      </c>
      <c r="G117" s="5"/>
      <c r="H117" s="7" t="s">
        <v>61</v>
      </c>
      <c r="I117" s="5" t="s">
        <v>62</v>
      </c>
      <c r="J117" s="5" t="str">
        <f>IF(COUNTIF(packages_master!$A:$A,A117)&gt;0,"Y","N")</f>
        <v>N</v>
      </c>
      <c r="K117" s="5" t="str">
        <f t="shared" si="8"/>
        <v/>
      </c>
      <c r="L117" s="5" t="str">
        <f t="shared" si="9"/>
        <v/>
      </c>
      <c r="M117" s="5" t="str">
        <f t="shared" si="10"/>
        <v>NORMAL</v>
      </c>
      <c r="N117" s="5" t="str">
        <f t="shared" si="11"/>
        <v/>
      </c>
      <c r="O117" s="12"/>
      <c r="P117" s="12"/>
      <c r="Q117" s="12"/>
      <c r="R117" s="12" t="s">
        <v>63</v>
      </c>
      <c r="S117" s="12"/>
    </row>
    <row r="118" spans="1:19" x14ac:dyDescent="0.25">
      <c r="A118" s="5" t="s">
        <v>285</v>
      </c>
      <c r="B118" s="5" t="s">
        <v>286</v>
      </c>
      <c r="C118" s="6">
        <v>13.6</v>
      </c>
      <c r="D118" s="6">
        <v>7.6</v>
      </c>
      <c r="E118" s="6">
        <v>5.6</v>
      </c>
      <c r="F118" s="6">
        <v>0.23</v>
      </c>
      <c r="G118" s="5"/>
      <c r="H118" s="7" t="s">
        <v>61</v>
      </c>
      <c r="I118" s="5" t="s">
        <v>62</v>
      </c>
      <c r="J118" s="5" t="str">
        <f>IF(COUNTIF(packages_master!$A:$A,A118)&gt;0,"Y","N")</f>
        <v>N</v>
      </c>
      <c r="K118" s="5" t="str">
        <f t="shared" si="8"/>
        <v/>
      </c>
      <c r="L118" s="5" t="str">
        <f t="shared" si="9"/>
        <v/>
      </c>
      <c r="M118" s="5" t="str">
        <f t="shared" si="10"/>
        <v>NORMAL</v>
      </c>
      <c r="N118" s="5" t="str">
        <f t="shared" si="11"/>
        <v/>
      </c>
      <c r="O118" s="12"/>
      <c r="P118" s="12"/>
      <c r="Q118" s="12"/>
      <c r="R118" s="12" t="s">
        <v>63</v>
      </c>
      <c r="S118" s="12"/>
    </row>
    <row r="119" spans="1:19" x14ac:dyDescent="0.25">
      <c r="A119" s="5" t="s">
        <v>287</v>
      </c>
      <c r="B119" s="5" t="s">
        <v>288</v>
      </c>
      <c r="C119" s="6">
        <v>15.6</v>
      </c>
      <c r="D119" s="6">
        <v>6.4</v>
      </c>
      <c r="E119" s="6">
        <v>7.2</v>
      </c>
      <c r="F119" s="6">
        <v>0.52400000000000002</v>
      </c>
      <c r="G119" s="5"/>
      <c r="H119" s="7" t="s">
        <v>61</v>
      </c>
      <c r="I119" s="5" t="s">
        <v>62</v>
      </c>
      <c r="J119" s="5" t="str">
        <f>IF(COUNTIF(packages_master!$A:$A,A119)&gt;0,"Y","N")</f>
        <v>N</v>
      </c>
      <c r="K119" s="5" t="str">
        <f t="shared" si="8"/>
        <v/>
      </c>
      <c r="L119" s="5" t="str">
        <f t="shared" si="9"/>
        <v/>
      </c>
      <c r="M119" s="5" t="str">
        <f t="shared" si="10"/>
        <v>NORMAL</v>
      </c>
      <c r="N119" s="5" t="str">
        <f t="shared" si="11"/>
        <v/>
      </c>
      <c r="O119" s="12"/>
      <c r="P119" s="12"/>
      <c r="Q119" s="12"/>
      <c r="R119" s="12" t="s">
        <v>63</v>
      </c>
      <c r="S119" s="12"/>
    </row>
    <row r="120" spans="1:19" x14ac:dyDescent="0.25">
      <c r="A120" s="5" t="s">
        <v>289</v>
      </c>
      <c r="B120" s="5" t="s">
        <v>290</v>
      </c>
      <c r="C120" s="6">
        <v>13.5</v>
      </c>
      <c r="D120" s="6">
        <v>7.5</v>
      </c>
      <c r="E120" s="6">
        <v>5.5</v>
      </c>
      <c r="F120" s="6">
        <v>0.48099999999999998</v>
      </c>
      <c r="G120" s="5"/>
      <c r="H120" s="7" t="s">
        <v>61</v>
      </c>
      <c r="I120" s="5" t="s">
        <v>62</v>
      </c>
      <c r="J120" s="5" t="str">
        <f>IF(COUNTIF(packages_master!$A:$A,A120)&gt;0,"Y","N")</f>
        <v>N</v>
      </c>
      <c r="K120" s="5" t="str">
        <f t="shared" si="8"/>
        <v/>
      </c>
      <c r="L120" s="5" t="str">
        <f t="shared" si="9"/>
        <v/>
      </c>
      <c r="M120" s="5" t="str">
        <f t="shared" si="10"/>
        <v>NORMAL</v>
      </c>
      <c r="N120" s="5" t="str">
        <f t="shared" si="11"/>
        <v/>
      </c>
      <c r="O120" s="12"/>
      <c r="P120" s="12"/>
      <c r="Q120" s="12"/>
      <c r="R120" s="12" t="s">
        <v>63</v>
      </c>
      <c r="S120" s="12"/>
    </row>
    <row r="121" spans="1:19" x14ac:dyDescent="0.25">
      <c r="A121" s="5" t="s">
        <v>291</v>
      </c>
      <c r="B121" s="5" t="s">
        <v>292</v>
      </c>
      <c r="C121" s="6">
        <v>20.399999999999999</v>
      </c>
      <c r="D121" s="6">
        <v>8.9</v>
      </c>
      <c r="E121" s="8">
        <v>2</v>
      </c>
      <c r="F121" s="6">
        <v>0.114</v>
      </c>
      <c r="G121" s="5"/>
      <c r="H121" s="7" t="s">
        <v>61</v>
      </c>
      <c r="I121" s="5" t="s">
        <v>62</v>
      </c>
      <c r="J121" s="5" t="str">
        <f>IF(COUNTIF(packages_master!$A:$A,A121)&gt;0,"Y","N")</f>
        <v>N</v>
      </c>
      <c r="K121" s="5" t="str">
        <f t="shared" si="8"/>
        <v/>
      </c>
      <c r="L121" s="5" t="str">
        <f t="shared" si="9"/>
        <v/>
      </c>
      <c r="M121" s="5" t="str">
        <f t="shared" si="10"/>
        <v>NORMAL</v>
      </c>
      <c r="N121" s="5" t="str">
        <f t="shared" si="11"/>
        <v/>
      </c>
      <c r="O121" s="12"/>
      <c r="P121" s="12"/>
      <c r="Q121" s="12"/>
      <c r="R121" s="12" t="s">
        <v>63</v>
      </c>
      <c r="S121" s="12"/>
    </row>
    <row r="122" spans="1:19" x14ac:dyDescent="0.25">
      <c r="A122" s="5" t="s">
        <v>293</v>
      </c>
      <c r="B122" s="5" t="s">
        <v>294</v>
      </c>
      <c r="C122" s="6">
        <v>19.600000000000001</v>
      </c>
      <c r="D122" s="8">
        <v>7</v>
      </c>
      <c r="E122" s="8">
        <v>3</v>
      </c>
      <c r="F122" s="6">
        <v>4.5999999999999999E-2</v>
      </c>
      <c r="G122" s="5"/>
      <c r="H122" s="7" t="s">
        <v>61</v>
      </c>
      <c r="I122" s="5" t="s">
        <v>62</v>
      </c>
      <c r="J122" s="5" t="str">
        <f>IF(COUNTIF(packages_master!$A:$A,A122)&gt;0,"Y","N")</f>
        <v>N</v>
      </c>
      <c r="K122" s="5" t="str">
        <f t="shared" si="8"/>
        <v/>
      </c>
      <c r="L122" s="5" t="str">
        <f t="shared" si="9"/>
        <v/>
      </c>
      <c r="M122" s="5" t="str">
        <f t="shared" si="10"/>
        <v>NORMAL</v>
      </c>
      <c r="N122" s="5" t="str">
        <f t="shared" si="11"/>
        <v/>
      </c>
      <c r="O122" s="12"/>
      <c r="P122" s="12"/>
      <c r="Q122" s="12"/>
      <c r="R122" s="12" t="s">
        <v>63</v>
      </c>
      <c r="S122" s="12"/>
    </row>
    <row r="123" spans="1:19" x14ac:dyDescent="0.25">
      <c r="A123" s="5" t="s">
        <v>295</v>
      </c>
      <c r="B123" s="5" t="s">
        <v>296</v>
      </c>
      <c r="C123" s="6">
        <v>19.600000000000001</v>
      </c>
      <c r="D123" s="8">
        <v>7</v>
      </c>
      <c r="E123" s="8">
        <v>3</v>
      </c>
      <c r="F123" s="6">
        <v>4.5999999999999999E-2</v>
      </c>
      <c r="G123" s="5"/>
      <c r="H123" s="7" t="s">
        <v>61</v>
      </c>
      <c r="I123" s="5" t="s">
        <v>62</v>
      </c>
      <c r="J123" s="5" t="str">
        <f>IF(COUNTIF(packages_master!$A:$A,A123)&gt;0,"Y","N")</f>
        <v>N</v>
      </c>
      <c r="K123" s="5" t="str">
        <f t="shared" si="8"/>
        <v/>
      </c>
      <c r="L123" s="5" t="str">
        <f t="shared" si="9"/>
        <v/>
      </c>
      <c r="M123" s="5" t="str">
        <f t="shared" si="10"/>
        <v>NORMAL</v>
      </c>
      <c r="N123" s="5" t="str">
        <f t="shared" si="11"/>
        <v/>
      </c>
      <c r="O123" s="12"/>
      <c r="P123" s="12"/>
      <c r="Q123" s="12"/>
      <c r="R123" s="12" t="s">
        <v>63</v>
      </c>
      <c r="S123" s="12"/>
    </row>
    <row r="124" spans="1:19" x14ac:dyDescent="0.25">
      <c r="A124" s="5" t="s">
        <v>297</v>
      </c>
      <c r="B124" s="5" t="s">
        <v>298</v>
      </c>
      <c r="C124" s="6">
        <v>19.600000000000001</v>
      </c>
      <c r="D124" s="8">
        <v>7</v>
      </c>
      <c r="E124" s="8">
        <v>3</v>
      </c>
      <c r="F124" s="6">
        <v>4.5999999999999999E-2</v>
      </c>
      <c r="G124" s="5"/>
      <c r="H124" s="7" t="s">
        <v>61</v>
      </c>
      <c r="I124" s="5" t="s">
        <v>62</v>
      </c>
      <c r="J124" s="5" t="str">
        <f>IF(COUNTIF(packages_master!$A:$A,A124)&gt;0,"Y","N")</f>
        <v>N</v>
      </c>
      <c r="K124" s="5" t="str">
        <f t="shared" si="8"/>
        <v/>
      </c>
      <c r="L124" s="5" t="str">
        <f t="shared" si="9"/>
        <v/>
      </c>
      <c r="M124" s="5" t="str">
        <f t="shared" si="10"/>
        <v>NORMAL</v>
      </c>
      <c r="N124" s="5" t="str">
        <f t="shared" si="11"/>
        <v/>
      </c>
      <c r="O124" s="12"/>
      <c r="P124" s="12"/>
      <c r="Q124" s="12"/>
      <c r="R124" s="12" t="s">
        <v>63</v>
      </c>
      <c r="S124" s="12"/>
    </row>
    <row r="125" spans="1:19" x14ac:dyDescent="0.25">
      <c r="A125" s="5" t="s">
        <v>299</v>
      </c>
      <c r="B125" s="5" t="s">
        <v>300</v>
      </c>
      <c r="C125" s="6">
        <v>19.399999999999999</v>
      </c>
      <c r="D125" s="8">
        <v>7</v>
      </c>
      <c r="E125" s="6">
        <v>7.4</v>
      </c>
      <c r="F125" s="6">
        <v>0.113</v>
      </c>
      <c r="G125" s="5"/>
      <c r="H125" s="7" t="s">
        <v>61</v>
      </c>
      <c r="I125" s="5" t="s">
        <v>62</v>
      </c>
      <c r="J125" s="5" t="str">
        <f>IF(COUNTIF(packages_master!$A:$A,A125)&gt;0,"Y","N")</f>
        <v>N</v>
      </c>
      <c r="K125" s="5" t="str">
        <f t="shared" si="8"/>
        <v/>
      </c>
      <c r="L125" s="5" t="str">
        <f t="shared" si="9"/>
        <v/>
      </c>
      <c r="M125" s="5" t="str">
        <f t="shared" si="10"/>
        <v>NORMAL</v>
      </c>
      <c r="N125" s="5" t="str">
        <f t="shared" si="11"/>
        <v/>
      </c>
      <c r="O125" s="12"/>
      <c r="P125" s="12"/>
      <c r="Q125" s="12"/>
      <c r="R125" s="12" t="s">
        <v>63</v>
      </c>
      <c r="S125" s="12"/>
    </row>
    <row r="126" spans="1:19" x14ac:dyDescent="0.25">
      <c r="A126" s="5" t="s">
        <v>301</v>
      </c>
      <c r="B126" s="5" t="s">
        <v>302</v>
      </c>
      <c r="C126" s="6">
        <v>23.2</v>
      </c>
      <c r="D126" s="6">
        <v>11.5</v>
      </c>
      <c r="E126" s="6">
        <v>4.7</v>
      </c>
      <c r="F126" s="6">
        <v>0.154</v>
      </c>
      <c r="G126" s="5"/>
      <c r="H126" s="7" t="s">
        <v>61</v>
      </c>
      <c r="I126" s="5" t="s">
        <v>62</v>
      </c>
      <c r="J126" s="5" t="str">
        <f>IF(COUNTIF(packages_master!$A:$A,A126)&gt;0,"Y","N")</f>
        <v>N</v>
      </c>
      <c r="K126" s="5" t="str">
        <f t="shared" si="8"/>
        <v/>
      </c>
      <c r="L126" s="5" t="str">
        <f t="shared" si="9"/>
        <v/>
      </c>
      <c r="M126" s="5" t="str">
        <f t="shared" si="10"/>
        <v>NORMAL</v>
      </c>
      <c r="N126" s="5" t="str">
        <f t="shared" si="11"/>
        <v/>
      </c>
      <c r="O126" s="12"/>
      <c r="P126" s="12"/>
      <c r="Q126" s="12"/>
      <c r="R126" s="12" t="s">
        <v>63</v>
      </c>
      <c r="S126" s="12"/>
    </row>
    <row r="127" spans="1:19" x14ac:dyDescent="0.25">
      <c r="A127" s="5" t="s">
        <v>303</v>
      </c>
      <c r="B127" s="5" t="s">
        <v>304</v>
      </c>
      <c r="C127" s="6">
        <v>23.4</v>
      </c>
      <c r="D127" s="6">
        <v>11.1</v>
      </c>
      <c r="E127" s="6">
        <v>3.6</v>
      </c>
      <c r="F127" s="6">
        <v>0.123</v>
      </c>
      <c r="G127" s="5"/>
      <c r="H127" s="7" t="s">
        <v>61</v>
      </c>
      <c r="I127" s="5" t="s">
        <v>62</v>
      </c>
      <c r="J127" s="5" t="str">
        <f>IF(COUNTIF(packages_master!$A:$A,A127)&gt;0,"Y","N")</f>
        <v>N</v>
      </c>
      <c r="K127" s="5" t="str">
        <f t="shared" si="8"/>
        <v/>
      </c>
      <c r="L127" s="5" t="str">
        <f t="shared" si="9"/>
        <v/>
      </c>
      <c r="M127" s="5" t="str">
        <f t="shared" si="10"/>
        <v>NORMAL</v>
      </c>
      <c r="N127" s="5" t="str">
        <f t="shared" si="11"/>
        <v/>
      </c>
      <c r="O127" s="12"/>
      <c r="P127" s="12"/>
      <c r="Q127" s="12"/>
      <c r="R127" s="12" t="s">
        <v>63</v>
      </c>
      <c r="S127" s="12"/>
    </row>
    <row r="128" spans="1:19" x14ac:dyDescent="0.25">
      <c r="A128" s="5" t="s">
        <v>305</v>
      </c>
      <c r="B128" s="5" t="s">
        <v>306</v>
      </c>
      <c r="C128" s="6">
        <v>20.5</v>
      </c>
      <c r="D128" s="8">
        <v>8</v>
      </c>
      <c r="E128" s="8">
        <v>3</v>
      </c>
      <c r="F128" s="6">
        <v>4.2999999999999997E-2</v>
      </c>
      <c r="G128" s="5"/>
      <c r="H128" s="7" t="s">
        <v>61</v>
      </c>
      <c r="I128" s="5" t="s">
        <v>62</v>
      </c>
      <c r="J128" s="5" t="str">
        <f>IF(COUNTIF(packages_master!$A:$A,A128)&gt;0,"Y","N")</f>
        <v>N</v>
      </c>
      <c r="K128" s="5" t="str">
        <f t="shared" si="8"/>
        <v/>
      </c>
      <c r="L128" s="5" t="str">
        <f t="shared" si="9"/>
        <v/>
      </c>
      <c r="M128" s="5" t="str">
        <f t="shared" si="10"/>
        <v>NORMAL</v>
      </c>
      <c r="N128" s="5" t="str">
        <f t="shared" si="11"/>
        <v/>
      </c>
      <c r="O128" s="12"/>
      <c r="P128" s="12"/>
      <c r="Q128" s="12"/>
      <c r="R128" s="12" t="s">
        <v>63</v>
      </c>
      <c r="S128" s="12"/>
    </row>
    <row r="129" spans="1:19" x14ac:dyDescent="0.25">
      <c r="A129" s="5" t="s">
        <v>307</v>
      </c>
      <c r="B129" s="5" t="s">
        <v>308</v>
      </c>
      <c r="C129" s="6">
        <v>20.5</v>
      </c>
      <c r="D129" s="8">
        <v>8</v>
      </c>
      <c r="E129" s="8">
        <v>3</v>
      </c>
      <c r="F129" s="6">
        <v>4.2999999999999997E-2</v>
      </c>
      <c r="G129" s="5"/>
      <c r="H129" s="7" t="s">
        <v>61</v>
      </c>
      <c r="I129" s="5" t="s">
        <v>62</v>
      </c>
      <c r="J129" s="5" t="str">
        <f>IF(COUNTIF(packages_master!$A:$A,A129)&gt;0,"Y","N")</f>
        <v>N</v>
      </c>
      <c r="K129" s="5" t="str">
        <f t="shared" si="8"/>
        <v/>
      </c>
      <c r="L129" s="5" t="str">
        <f t="shared" si="9"/>
        <v/>
      </c>
      <c r="M129" s="5" t="str">
        <f t="shared" si="10"/>
        <v>NORMAL</v>
      </c>
      <c r="N129" s="5" t="str">
        <f t="shared" si="11"/>
        <v/>
      </c>
      <c r="O129" s="12"/>
      <c r="P129" s="12"/>
      <c r="Q129" s="12"/>
      <c r="R129" s="12" t="s">
        <v>63</v>
      </c>
      <c r="S129" s="12"/>
    </row>
    <row r="130" spans="1:19" x14ac:dyDescent="0.25">
      <c r="A130" s="5" t="s">
        <v>309</v>
      </c>
      <c r="B130" s="5" t="s">
        <v>310</v>
      </c>
      <c r="C130" s="6">
        <v>20.5</v>
      </c>
      <c r="D130" s="8">
        <v>8</v>
      </c>
      <c r="E130" s="8">
        <v>3</v>
      </c>
      <c r="F130" s="6">
        <v>4.2999999999999997E-2</v>
      </c>
      <c r="G130" s="5"/>
      <c r="H130" s="7" t="s">
        <v>61</v>
      </c>
      <c r="I130" s="5" t="s">
        <v>62</v>
      </c>
      <c r="J130" s="5" t="str">
        <f>IF(COUNTIF(packages_master!$A:$A,A130)&gt;0,"Y","N")</f>
        <v>N</v>
      </c>
      <c r="K130" s="5" t="str">
        <f t="shared" si="8"/>
        <v/>
      </c>
      <c r="L130" s="5" t="str">
        <f t="shared" si="9"/>
        <v/>
      </c>
      <c r="M130" s="5" t="str">
        <f t="shared" si="10"/>
        <v>NORMAL</v>
      </c>
      <c r="N130" s="5" t="str">
        <f t="shared" si="11"/>
        <v/>
      </c>
      <c r="O130" s="12"/>
      <c r="P130" s="12"/>
      <c r="Q130" s="12"/>
      <c r="R130" s="12" t="s">
        <v>63</v>
      </c>
      <c r="S130" s="12"/>
    </row>
    <row r="131" spans="1:19" x14ac:dyDescent="0.25">
      <c r="A131" s="5" t="s">
        <v>311</v>
      </c>
      <c r="B131" s="5" t="s">
        <v>312</v>
      </c>
      <c r="C131" s="8">
        <v>23</v>
      </c>
      <c r="D131" s="6">
        <v>11.2</v>
      </c>
      <c r="E131" s="6">
        <v>3.7</v>
      </c>
      <c r="F131" s="6">
        <v>0.22800000000000001</v>
      </c>
      <c r="G131" s="5"/>
      <c r="H131" s="7" t="s">
        <v>61</v>
      </c>
      <c r="I131" s="5" t="s">
        <v>62</v>
      </c>
      <c r="J131" s="5" t="str">
        <f>IF(COUNTIF(packages_master!$A:$A,A131)&gt;0,"Y","N")</f>
        <v>N</v>
      </c>
      <c r="K131" s="5" t="str">
        <f t="shared" si="8"/>
        <v/>
      </c>
      <c r="L131" s="5" t="str">
        <f t="shared" si="9"/>
        <v/>
      </c>
      <c r="M131" s="5" t="str">
        <f t="shared" si="10"/>
        <v>NORMAL</v>
      </c>
      <c r="N131" s="5" t="str">
        <f t="shared" si="11"/>
        <v/>
      </c>
      <c r="O131" s="12"/>
      <c r="P131" s="12"/>
      <c r="Q131" s="12"/>
      <c r="R131" s="12" t="s">
        <v>63</v>
      </c>
      <c r="S131" s="12"/>
    </row>
    <row r="132" spans="1:19" x14ac:dyDescent="0.25">
      <c r="A132" s="5" t="s">
        <v>313</v>
      </c>
      <c r="B132" s="5" t="s">
        <v>314</v>
      </c>
      <c r="C132" s="6">
        <v>14.2</v>
      </c>
      <c r="D132" s="8">
        <v>16</v>
      </c>
      <c r="E132" s="6">
        <v>4.7</v>
      </c>
      <c r="F132" s="6">
        <v>0.221</v>
      </c>
      <c r="G132" s="5"/>
      <c r="H132" s="7" t="s">
        <v>61</v>
      </c>
      <c r="I132" s="5" t="s">
        <v>62</v>
      </c>
      <c r="J132" s="5" t="str">
        <f>IF(COUNTIF(packages_master!$A:$A,A132)&gt;0,"Y","N")</f>
        <v>N</v>
      </c>
      <c r="K132" s="5" t="str">
        <f t="shared" si="8"/>
        <v/>
      </c>
      <c r="L132" s="5" t="str">
        <f t="shared" si="9"/>
        <v/>
      </c>
      <c r="M132" s="5" t="str">
        <f t="shared" si="10"/>
        <v>NORMAL</v>
      </c>
      <c r="N132" s="5" t="str">
        <f t="shared" si="11"/>
        <v/>
      </c>
      <c r="O132" s="12"/>
      <c r="P132" s="12"/>
      <c r="Q132" s="12"/>
      <c r="R132" s="12" t="s">
        <v>63</v>
      </c>
      <c r="S132" s="12"/>
    </row>
    <row r="133" spans="1:19" x14ac:dyDescent="0.25">
      <c r="A133" s="5" t="s">
        <v>315</v>
      </c>
      <c r="B133" s="5" t="s">
        <v>316</v>
      </c>
      <c r="C133" s="6">
        <v>7.9</v>
      </c>
      <c r="D133" s="6">
        <v>3.9</v>
      </c>
      <c r="E133" s="6">
        <v>3.1</v>
      </c>
      <c r="F133" s="6">
        <v>0.06</v>
      </c>
      <c r="G133" s="5"/>
      <c r="H133" s="7" t="s">
        <v>61</v>
      </c>
      <c r="I133" s="5" t="s">
        <v>62</v>
      </c>
      <c r="J133" s="5" t="str">
        <f>IF(COUNTIF(packages_master!$A:$A,A133)&gt;0,"Y","N")</f>
        <v>N</v>
      </c>
      <c r="K133" s="5" t="str">
        <f t="shared" si="8"/>
        <v/>
      </c>
      <c r="L133" s="5" t="str">
        <f t="shared" si="9"/>
        <v/>
      </c>
      <c r="M133" s="5" t="str">
        <f t="shared" si="10"/>
        <v>NORMAL</v>
      </c>
      <c r="N133" s="5" t="str">
        <f t="shared" si="11"/>
        <v/>
      </c>
      <c r="O133" s="12"/>
      <c r="P133" s="12"/>
      <c r="Q133" s="12"/>
      <c r="R133" s="12" t="s">
        <v>63</v>
      </c>
      <c r="S133" s="12"/>
    </row>
    <row r="134" spans="1:19" x14ac:dyDescent="0.25">
      <c r="A134" s="5" t="s">
        <v>317</v>
      </c>
      <c r="B134" s="5" t="s">
        <v>318</v>
      </c>
      <c r="C134" s="6">
        <v>18.100000000000001</v>
      </c>
      <c r="D134" s="6">
        <v>8.6999999999999993</v>
      </c>
      <c r="E134" s="6">
        <v>6.7</v>
      </c>
      <c r="F134" s="6">
        <v>0.36299999999999999</v>
      </c>
      <c r="G134" s="5"/>
      <c r="H134" s="7" t="s">
        <v>61</v>
      </c>
      <c r="I134" s="5" t="s">
        <v>62</v>
      </c>
      <c r="J134" s="5" t="str">
        <f>IF(COUNTIF(packages_master!$A:$A,A134)&gt;0,"Y","N")</f>
        <v>N</v>
      </c>
      <c r="K134" s="5" t="str">
        <f t="shared" si="8"/>
        <v/>
      </c>
      <c r="L134" s="5" t="str">
        <f t="shared" si="9"/>
        <v/>
      </c>
      <c r="M134" s="5" t="str">
        <f t="shared" si="10"/>
        <v>NORMAL</v>
      </c>
      <c r="N134" s="5" t="str">
        <f t="shared" si="11"/>
        <v/>
      </c>
      <c r="O134" s="12"/>
      <c r="P134" s="12"/>
      <c r="Q134" s="12"/>
      <c r="R134" s="12" t="s">
        <v>63</v>
      </c>
      <c r="S134" s="12"/>
    </row>
    <row r="135" spans="1:19" x14ac:dyDescent="0.25">
      <c r="A135" s="5" t="s">
        <v>319</v>
      </c>
      <c r="B135" s="5" t="s">
        <v>320</v>
      </c>
      <c r="C135" s="8">
        <v>22</v>
      </c>
      <c r="D135" s="6">
        <v>14.1</v>
      </c>
      <c r="E135" s="6">
        <v>2.7</v>
      </c>
      <c r="F135" s="6">
        <v>0.28699999999999998</v>
      </c>
      <c r="G135" s="5"/>
      <c r="H135" s="7" t="s">
        <v>61</v>
      </c>
      <c r="I135" s="5" t="s">
        <v>62</v>
      </c>
      <c r="J135" s="5" t="str">
        <f>IF(COUNTIF(packages_master!$A:$A,A135)&gt;0,"Y","N")</f>
        <v>N</v>
      </c>
      <c r="K135" s="5" t="str">
        <f t="shared" si="8"/>
        <v/>
      </c>
      <c r="L135" s="5" t="str">
        <f t="shared" si="9"/>
        <v/>
      </c>
      <c r="M135" s="5" t="str">
        <f t="shared" si="10"/>
        <v>NORMAL</v>
      </c>
      <c r="N135" s="5" t="str">
        <f t="shared" si="11"/>
        <v/>
      </c>
      <c r="O135" s="12"/>
      <c r="P135" s="12"/>
      <c r="Q135" s="12"/>
      <c r="R135" s="12" t="s">
        <v>63</v>
      </c>
      <c r="S135" s="12"/>
    </row>
    <row r="136" spans="1:19" x14ac:dyDescent="0.25">
      <c r="A136" s="5" t="s">
        <v>321</v>
      </c>
      <c r="B136" s="5" t="s">
        <v>322</v>
      </c>
      <c r="C136" s="6">
        <v>18.5</v>
      </c>
      <c r="D136" s="8">
        <v>9</v>
      </c>
      <c r="E136" s="8">
        <v>5</v>
      </c>
      <c r="F136" s="6">
        <v>0.23699999999999999</v>
      </c>
      <c r="G136" s="5"/>
      <c r="H136" s="7" t="s">
        <v>61</v>
      </c>
      <c r="I136" s="5" t="s">
        <v>62</v>
      </c>
      <c r="J136" s="5" t="str">
        <f>IF(COUNTIF(packages_master!$A:$A,A136)&gt;0,"Y","N")</f>
        <v>N</v>
      </c>
      <c r="K136" s="5" t="str">
        <f t="shared" ref="K136:K200" si="12">IF(G136&lt;&gt;"","BX010","")</f>
        <v/>
      </c>
      <c r="L136" s="5" t="str">
        <f t="shared" ref="L136:L200" si="13">IF(G136&lt;&gt;"",300,"")</f>
        <v/>
      </c>
      <c r="M136" s="5" t="str">
        <f t="shared" ref="M136:M200" si="14">IF(J136="Y","PACKAGE_SEALED",IF(G136&lt;&gt;"","SPECIAL_300","NORMAL"))</f>
        <v>NORMAL</v>
      </c>
      <c r="N136" s="5" t="str">
        <f t="shared" ref="N136:N200" si="15">IF(J136="Y","packages_master","")</f>
        <v/>
      </c>
      <c r="O136" s="12"/>
      <c r="P136" s="12"/>
      <c r="Q136" s="12"/>
      <c r="R136" s="12" t="s">
        <v>63</v>
      </c>
      <c r="S136" s="12"/>
    </row>
    <row r="137" spans="1:19" x14ac:dyDescent="0.25">
      <c r="A137" s="5" t="s">
        <v>323</v>
      </c>
      <c r="B137" s="5" t="s">
        <v>324</v>
      </c>
      <c r="C137" s="6">
        <v>15.5</v>
      </c>
      <c r="D137" s="8">
        <v>14</v>
      </c>
      <c r="E137" s="6">
        <v>2.4</v>
      </c>
      <c r="F137" s="6">
        <v>0.189</v>
      </c>
      <c r="G137" s="5"/>
      <c r="H137" s="7" t="s">
        <v>61</v>
      </c>
      <c r="I137" s="5" t="s">
        <v>62</v>
      </c>
      <c r="J137" s="5" t="str">
        <f>IF(COUNTIF(packages_master!$A:$A,A137)&gt;0,"Y","N")</f>
        <v>N</v>
      </c>
      <c r="K137" s="5" t="str">
        <f t="shared" si="12"/>
        <v/>
      </c>
      <c r="L137" s="5" t="str">
        <f t="shared" si="13"/>
        <v/>
      </c>
      <c r="M137" s="5" t="str">
        <f t="shared" si="14"/>
        <v>NORMAL</v>
      </c>
      <c r="N137" s="5" t="str">
        <f t="shared" si="15"/>
        <v/>
      </c>
      <c r="O137" s="12"/>
      <c r="P137" s="12"/>
      <c r="Q137" s="12"/>
      <c r="R137" s="12" t="s">
        <v>63</v>
      </c>
      <c r="S137" s="12"/>
    </row>
    <row r="138" spans="1:19" x14ac:dyDescent="0.25">
      <c r="A138" s="5" t="s">
        <v>325</v>
      </c>
      <c r="B138" s="5" t="s">
        <v>326</v>
      </c>
      <c r="C138" s="6">
        <v>13.5</v>
      </c>
      <c r="D138" s="8">
        <v>11</v>
      </c>
      <c r="E138" s="6">
        <v>2.8</v>
      </c>
      <c r="F138" s="6">
        <v>0.16300000000000001</v>
      </c>
      <c r="G138" s="5"/>
      <c r="H138" s="7" t="s">
        <v>61</v>
      </c>
      <c r="I138" s="5" t="s">
        <v>62</v>
      </c>
      <c r="J138" s="5" t="str">
        <f>IF(COUNTIF(packages_master!$A:$A,A138)&gt;0,"Y","N")</f>
        <v>N</v>
      </c>
      <c r="K138" s="5" t="str">
        <f t="shared" si="12"/>
        <v/>
      </c>
      <c r="L138" s="5" t="str">
        <f t="shared" si="13"/>
        <v/>
      </c>
      <c r="M138" s="5" t="str">
        <f t="shared" si="14"/>
        <v>NORMAL</v>
      </c>
      <c r="N138" s="5" t="str">
        <f t="shared" si="15"/>
        <v/>
      </c>
      <c r="O138" s="12"/>
      <c r="P138" s="12"/>
      <c r="Q138" s="12"/>
      <c r="R138" s="12" t="s">
        <v>63</v>
      </c>
      <c r="S138" s="12"/>
    </row>
    <row r="139" spans="1:19" x14ac:dyDescent="0.25">
      <c r="A139" s="5" t="s">
        <v>327</v>
      </c>
      <c r="B139" s="5" t="s">
        <v>328</v>
      </c>
      <c r="C139" s="6">
        <v>19.3</v>
      </c>
      <c r="D139" s="6">
        <v>7.3</v>
      </c>
      <c r="E139" s="6">
        <v>2.8</v>
      </c>
      <c r="F139" s="6">
        <v>5.0999999999999997E-2</v>
      </c>
      <c r="G139" s="5" t="s">
        <v>329</v>
      </c>
      <c r="H139" s="7" t="s">
        <v>61</v>
      </c>
      <c r="I139" s="5" t="s">
        <v>62</v>
      </c>
      <c r="J139" s="5" t="str">
        <f>IF(COUNTIF(packages_master!$A:$A,A139)&gt;0,"Y","N")</f>
        <v>N</v>
      </c>
      <c r="K139" s="5" t="str">
        <f t="shared" si="12"/>
        <v>BX010</v>
      </c>
      <c r="L139" s="5">
        <f t="shared" si="13"/>
        <v>300</v>
      </c>
      <c r="M139" s="5" t="str">
        <f t="shared" si="14"/>
        <v>SPECIAL_300</v>
      </c>
      <c r="N139" s="5" t="str">
        <f t="shared" si="15"/>
        <v/>
      </c>
      <c r="O139" s="12"/>
      <c r="P139" s="12"/>
      <c r="Q139" s="12"/>
      <c r="R139" s="12" t="s">
        <v>63</v>
      </c>
      <c r="S139" s="12"/>
    </row>
    <row r="140" spans="1:19" s="20" customFormat="1" x14ac:dyDescent="0.25">
      <c r="A140" s="5" t="s">
        <v>1301</v>
      </c>
      <c r="B140" s="5" t="s">
        <v>1302</v>
      </c>
      <c r="C140" s="6">
        <v>19.3</v>
      </c>
      <c r="D140" s="6">
        <v>7.3</v>
      </c>
      <c r="E140" s="6">
        <v>2.8</v>
      </c>
      <c r="F140" s="6">
        <v>5.0999999999999997E-2</v>
      </c>
      <c r="G140" s="5" t="s">
        <v>336</v>
      </c>
      <c r="H140" s="7" t="s">
        <v>61</v>
      </c>
      <c r="I140" s="5" t="s">
        <v>62</v>
      </c>
      <c r="J140" s="5" t="str">
        <f>IF(COUNTIF(packages_master!$A:$A,A140)&gt;0,"Y","N")</f>
        <v>N</v>
      </c>
      <c r="K140" s="5" t="str">
        <f t="shared" si="12"/>
        <v>BX010</v>
      </c>
      <c r="L140" s="5">
        <f t="shared" si="13"/>
        <v>300</v>
      </c>
      <c r="M140" s="5" t="str">
        <f t="shared" si="14"/>
        <v>SPECIAL_300</v>
      </c>
      <c r="N140" s="5"/>
      <c r="O140" s="21"/>
      <c r="P140" s="21"/>
      <c r="Q140" s="21"/>
      <c r="R140" s="21" t="s">
        <v>63</v>
      </c>
      <c r="S140" s="21"/>
    </row>
    <row r="141" spans="1:19" x14ac:dyDescent="0.25">
      <c r="A141" s="5" t="s">
        <v>330</v>
      </c>
      <c r="B141" s="5" t="s">
        <v>331</v>
      </c>
      <c r="C141" s="6">
        <v>19.3</v>
      </c>
      <c r="D141" s="6">
        <v>7.3</v>
      </c>
      <c r="E141" s="6">
        <v>2.8</v>
      </c>
      <c r="F141" s="6">
        <v>5.0999999999999997E-2</v>
      </c>
      <c r="G141" s="5" t="s">
        <v>329</v>
      </c>
      <c r="H141" s="7" t="s">
        <v>61</v>
      </c>
      <c r="I141" s="5" t="s">
        <v>62</v>
      </c>
      <c r="J141" s="5" t="str">
        <f>IF(COUNTIF(packages_master!$A:$A,A141)&gt;0,"Y","N")</f>
        <v>N</v>
      </c>
      <c r="K141" s="5" t="str">
        <f t="shared" si="12"/>
        <v>BX010</v>
      </c>
      <c r="L141" s="5">
        <f t="shared" si="13"/>
        <v>300</v>
      </c>
      <c r="M141" s="5" t="str">
        <f t="shared" si="14"/>
        <v>SPECIAL_300</v>
      </c>
      <c r="N141" s="5" t="str">
        <f t="shared" si="15"/>
        <v/>
      </c>
      <c r="O141" s="12"/>
      <c r="P141" s="12"/>
      <c r="Q141" s="12"/>
      <c r="R141" s="12" t="s">
        <v>63</v>
      </c>
      <c r="S141" s="12"/>
    </row>
    <row r="142" spans="1:19" x14ac:dyDescent="0.25">
      <c r="A142" s="5" t="s">
        <v>332</v>
      </c>
      <c r="B142" s="5" t="s">
        <v>333</v>
      </c>
      <c r="C142" s="6">
        <v>19.3</v>
      </c>
      <c r="D142" s="6">
        <v>7.3</v>
      </c>
      <c r="E142" s="6">
        <v>2.8</v>
      </c>
      <c r="F142" s="6">
        <v>4.9000000000000002E-2</v>
      </c>
      <c r="G142" s="5" t="s">
        <v>329</v>
      </c>
      <c r="H142" s="7" t="s">
        <v>61</v>
      </c>
      <c r="I142" s="5" t="s">
        <v>62</v>
      </c>
      <c r="J142" s="5" t="str">
        <f>IF(COUNTIF(packages_master!$A:$A,A142)&gt;0,"Y","N")</f>
        <v>N</v>
      </c>
      <c r="K142" s="5" t="str">
        <f t="shared" si="12"/>
        <v>BX010</v>
      </c>
      <c r="L142" s="5">
        <f t="shared" si="13"/>
        <v>300</v>
      </c>
      <c r="M142" s="5" t="str">
        <f t="shared" si="14"/>
        <v>SPECIAL_300</v>
      </c>
      <c r="N142" s="5" t="str">
        <f t="shared" si="15"/>
        <v/>
      </c>
      <c r="O142" s="12"/>
      <c r="P142" s="12"/>
      <c r="Q142" s="12"/>
      <c r="R142" s="12" t="s">
        <v>63</v>
      </c>
      <c r="S142" s="12"/>
    </row>
    <row r="143" spans="1:19" x14ac:dyDescent="0.25">
      <c r="A143" s="5" t="s">
        <v>334</v>
      </c>
      <c r="B143" s="5" t="s">
        <v>335</v>
      </c>
      <c r="C143" s="6">
        <v>19.899999999999999</v>
      </c>
      <c r="D143" s="6">
        <v>6.8</v>
      </c>
      <c r="E143" s="6">
        <v>2.7</v>
      </c>
      <c r="F143" s="6">
        <v>4.2000000000000003E-2</v>
      </c>
      <c r="G143" s="5" t="s">
        <v>336</v>
      </c>
      <c r="H143" s="7" t="s">
        <v>61</v>
      </c>
      <c r="I143" s="5" t="s">
        <v>62</v>
      </c>
      <c r="J143" s="5" t="str">
        <f>IF(COUNTIF(packages_master!$A:$A,A143)&gt;0,"Y","N")</f>
        <v>N</v>
      </c>
      <c r="K143" s="5" t="str">
        <f t="shared" si="12"/>
        <v>BX010</v>
      </c>
      <c r="L143" s="5">
        <f t="shared" si="13"/>
        <v>300</v>
      </c>
      <c r="M143" s="5" t="str">
        <f t="shared" si="14"/>
        <v>SPECIAL_300</v>
      </c>
      <c r="N143" s="5" t="str">
        <f t="shared" si="15"/>
        <v/>
      </c>
      <c r="O143" s="12"/>
      <c r="P143" s="12"/>
      <c r="Q143" s="12"/>
      <c r="R143" s="12" t="s">
        <v>63</v>
      </c>
      <c r="S143" s="12"/>
    </row>
    <row r="144" spans="1:19" x14ac:dyDescent="0.25">
      <c r="A144" s="5" t="s">
        <v>337</v>
      </c>
      <c r="B144" s="5" t="s">
        <v>338</v>
      </c>
      <c r="C144" s="6">
        <v>19.899999999999999</v>
      </c>
      <c r="D144" s="6">
        <v>6.8</v>
      </c>
      <c r="E144" s="6">
        <v>2.7</v>
      </c>
      <c r="F144" s="6">
        <v>4.2999999999999997E-2</v>
      </c>
      <c r="G144" s="5" t="s">
        <v>336</v>
      </c>
      <c r="H144" s="7" t="s">
        <v>61</v>
      </c>
      <c r="I144" s="5" t="s">
        <v>62</v>
      </c>
      <c r="J144" s="5" t="str">
        <f>IF(COUNTIF(packages_master!$A:$A,A144)&gt;0,"Y","N")</f>
        <v>N</v>
      </c>
      <c r="K144" s="5" t="str">
        <f t="shared" si="12"/>
        <v>BX010</v>
      </c>
      <c r="L144" s="5">
        <f t="shared" si="13"/>
        <v>300</v>
      </c>
      <c r="M144" s="5" t="str">
        <f t="shared" si="14"/>
        <v>SPECIAL_300</v>
      </c>
      <c r="N144" s="5" t="str">
        <f t="shared" si="15"/>
        <v/>
      </c>
      <c r="O144" s="12"/>
      <c r="P144" s="12"/>
      <c r="Q144" s="12"/>
      <c r="R144" s="12" t="s">
        <v>63</v>
      </c>
      <c r="S144" s="12"/>
    </row>
    <row r="145" spans="1:19" x14ac:dyDescent="0.25">
      <c r="A145" s="5" t="s">
        <v>339</v>
      </c>
      <c r="B145" s="5" t="s">
        <v>340</v>
      </c>
      <c r="C145" s="6">
        <v>6.5</v>
      </c>
      <c r="D145" s="6">
        <v>3.5</v>
      </c>
      <c r="E145" s="6">
        <v>3.5</v>
      </c>
      <c r="F145" s="6">
        <v>2.3E-2</v>
      </c>
      <c r="G145" s="5" t="s">
        <v>336</v>
      </c>
      <c r="H145" s="7" t="s">
        <v>61</v>
      </c>
      <c r="I145" s="5" t="s">
        <v>62</v>
      </c>
      <c r="J145" s="5" t="str">
        <f>IF(COUNTIF(packages_master!$A:$A,A145)&gt;0,"Y","N")</f>
        <v>N</v>
      </c>
      <c r="K145" s="5" t="str">
        <f t="shared" si="12"/>
        <v>BX010</v>
      </c>
      <c r="L145" s="5">
        <f t="shared" si="13"/>
        <v>300</v>
      </c>
      <c r="M145" s="5" t="str">
        <f t="shared" si="14"/>
        <v>SPECIAL_300</v>
      </c>
      <c r="N145" s="5" t="str">
        <f t="shared" si="15"/>
        <v/>
      </c>
      <c r="O145" s="12"/>
      <c r="P145" s="12"/>
      <c r="Q145" s="12"/>
      <c r="R145" s="12" t="s">
        <v>63</v>
      </c>
      <c r="S145" s="12"/>
    </row>
    <row r="146" spans="1:19" x14ac:dyDescent="0.25">
      <c r="A146" s="5" t="s">
        <v>341</v>
      </c>
      <c r="B146" s="5" t="s">
        <v>342</v>
      </c>
      <c r="C146" s="6">
        <v>19.3</v>
      </c>
      <c r="D146" s="6">
        <v>7.3</v>
      </c>
      <c r="E146" s="6">
        <v>2.8</v>
      </c>
      <c r="F146" s="6">
        <v>5.1999999999999998E-2</v>
      </c>
      <c r="G146" s="5"/>
      <c r="H146" s="7" t="s">
        <v>61</v>
      </c>
      <c r="I146" s="5" t="s">
        <v>62</v>
      </c>
      <c r="J146" s="5" t="str">
        <f>IF(COUNTIF(packages_master!$A:$A,A146)&gt;0,"Y","N")</f>
        <v>N</v>
      </c>
      <c r="K146" s="5" t="str">
        <f t="shared" si="12"/>
        <v/>
      </c>
      <c r="L146" s="5" t="str">
        <f t="shared" si="13"/>
        <v/>
      </c>
      <c r="M146" s="5" t="str">
        <f t="shared" si="14"/>
        <v>NORMAL</v>
      </c>
      <c r="N146" s="5" t="str">
        <f t="shared" si="15"/>
        <v/>
      </c>
      <c r="O146" s="12"/>
      <c r="P146" s="12"/>
      <c r="Q146" s="12"/>
      <c r="R146" s="12" t="s">
        <v>63</v>
      </c>
      <c r="S146" s="12"/>
    </row>
    <row r="147" spans="1:19" x14ac:dyDescent="0.25">
      <c r="A147" s="5" t="s">
        <v>343</v>
      </c>
      <c r="B147" s="5" t="s">
        <v>344</v>
      </c>
      <c r="C147" s="6">
        <v>19.3</v>
      </c>
      <c r="D147" s="6">
        <v>7.3</v>
      </c>
      <c r="E147" s="6">
        <v>2.8</v>
      </c>
      <c r="F147" s="6">
        <v>5.1999999999999998E-2</v>
      </c>
      <c r="G147" s="5"/>
      <c r="H147" s="7" t="s">
        <v>61</v>
      </c>
      <c r="I147" s="5" t="s">
        <v>62</v>
      </c>
      <c r="J147" s="5" t="str">
        <f>IF(COUNTIF(packages_master!$A:$A,A147)&gt;0,"Y","N")</f>
        <v>N</v>
      </c>
      <c r="K147" s="5" t="str">
        <f t="shared" si="12"/>
        <v/>
      </c>
      <c r="L147" s="5" t="str">
        <f t="shared" si="13"/>
        <v/>
      </c>
      <c r="M147" s="5" t="str">
        <f t="shared" si="14"/>
        <v>NORMAL</v>
      </c>
      <c r="N147" s="5" t="str">
        <f t="shared" si="15"/>
        <v/>
      </c>
      <c r="O147" s="12"/>
      <c r="P147" s="12"/>
      <c r="Q147" s="12"/>
      <c r="R147" s="12" t="s">
        <v>63</v>
      </c>
      <c r="S147" s="12"/>
    </row>
    <row r="148" spans="1:19" x14ac:dyDescent="0.25">
      <c r="A148" s="5" t="s">
        <v>345</v>
      </c>
      <c r="B148" s="5" t="s">
        <v>346</v>
      </c>
      <c r="C148" s="6">
        <v>19.3</v>
      </c>
      <c r="D148" s="6">
        <v>7.3</v>
      </c>
      <c r="E148" s="6">
        <v>2.8</v>
      </c>
      <c r="F148" s="6">
        <v>5.1999999999999998E-2</v>
      </c>
      <c r="G148" s="5"/>
      <c r="H148" s="7" t="s">
        <v>61</v>
      </c>
      <c r="I148" s="5" t="s">
        <v>62</v>
      </c>
      <c r="J148" s="5" t="str">
        <f>IF(COUNTIF(packages_master!$A:$A,A148)&gt;0,"Y","N")</f>
        <v>N</v>
      </c>
      <c r="K148" s="5" t="str">
        <f t="shared" si="12"/>
        <v/>
      </c>
      <c r="L148" s="5" t="str">
        <f t="shared" si="13"/>
        <v/>
      </c>
      <c r="M148" s="5" t="str">
        <f t="shared" si="14"/>
        <v>NORMAL</v>
      </c>
      <c r="N148" s="5" t="str">
        <f t="shared" si="15"/>
        <v/>
      </c>
      <c r="O148" s="12"/>
      <c r="P148" s="12"/>
      <c r="Q148" s="12"/>
      <c r="R148" s="12" t="s">
        <v>63</v>
      </c>
      <c r="S148" s="12"/>
    </row>
    <row r="149" spans="1:19" x14ac:dyDescent="0.25">
      <c r="A149" s="5" t="s">
        <v>347</v>
      </c>
      <c r="B149" s="5" t="s">
        <v>348</v>
      </c>
      <c r="C149" s="6">
        <v>15.6</v>
      </c>
      <c r="D149" s="6">
        <v>8.1</v>
      </c>
      <c r="E149" s="8">
        <v>7</v>
      </c>
      <c r="F149" s="6">
        <v>0.31</v>
      </c>
      <c r="G149" s="5"/>
      <c r="H149" s="7" t="s">
        <v>61</v>
      </c>
      <c r="I149" s="5" t="s">
        <v>62</v>
      </c>
      <c r="J149" s="5" t="str">
        <f>IF(COUNTIF(packages_master!$A:$A,A149)&gt;0,"Y","N")</f>
        <v>N</v>
      </c>
      <c r="K149" s="5" t="str">
        <f t="shared" si="12"/>
        <v/>
      </c>
      <c r="L149" s="5" t="str">
        <f t="shared" si="13"/>
        <v/>
      </c>
      <c r="M149" s="5" t="str">
        <f t="shared" si="14"/>
        <v>NORMAL</v>
      </c>
      <c r="N149" s="5" t="str">
        <f t="shared" si="15"/>
        <v/>
      </c>
      <c r="O149" s="12"/>
      <c r="P149" s="12"/>
      <c r="Q149" s="12"/>
      <c r="R149" s="12" t="s">
        <v>63</v>
      </c>
      <c r="S149" s="12"/>
    </row>
    <row r="150" spans="1:19" x14ac:dyDescent="0.25">
      <c r="A150" s="5" t="s">
        <v>349</v>
      </c>
      <c r="B150" s="5" t="s">
        <v>350</v>
      </c>
      <c r="C150" s="6">
        <v>17.8</v>
      </c>
      <c r="D150" s="8">
        <v>9</v>
      </c>
      <c r="E150" s="6">
        <v>2.5</v>
      </c>
      <c r="F150" s="6">
        <v>5.5E-2</v>
      </c>
      <c r="G150" s="5"/>
      <c r="H150" s="7" t="s">
        <v>61</v>
      </c>
      <c r="I150" s="5" t="s">
        <v>62</v>
      </c>
      <c r="J150" s="5" t="str">
        <f>IF(COUNTIF(packages_master!$A:$A,A150)&gt;0,"Y","N")</f>
        <v>N</v>
      </c>
      <c r="K150" s="5" t="str">
        <f t="shared" si="12"/>
        <v/>
      </c>
      <c r="L150" s="5" t="str">
        <f t="shared" si="13"/>
        <v/>
      </c>
      <c r="M150" s="5" t="str">
        <f t="shared" si="14"/>
        <v>NORMAL</v>
      </c>
      <c r="N150" s="5" t="str">
        <f t="shared" si="15"/>
        <v/>
      </c>
      <c r="O150" s="12"/>
      <c r="P150" s="12"/>
      <c r="Q150" s="12"/>
      <c r="R150" s="12" t="s">
        <v>63</v>
      </c>
      <c r="S150" s="12"/>
    </row>
    <row r="151" spans="1:19" x14ac:dyDescent="0.25">
      <c r="A151" s="5" t="s">
        <v>351</v>
      </c>
      <c r="B151" s="5" t="s">
        <v>352</v>
      </c>
      <c r="C151" s="6">
        <v>17.8</v>
      </c>
      <c r="D151" s="8">
        <v>9</v>
      </c>
      <c r="E151" s="6">
        <v>2.5</v>
      </c>
      <c r="F151" s="6">
        <v>5.5E-2</v>
      </c>
      <c r="G151" s="5"/>
      <c r="H151" s="7" t="s">
        <v>61</v>
      </c>
      <c r="I151" s="5" t="s">
        <v>62</v>
      </c>
      <c r="J151" s="5" t="str">
        <f>IF(COUNTIF(packages_master!$A:$A,A151)&gt;0,"Y","N")</f>
        <v>N</v>
      </c>
      <c r="K151" s="5" t="str">
        <f t="shared" si="12"/>
        <v/>
      </c>
      <c r="L151" s="5" t="str">
        <f t="shared" si="13"/>
        <v/>
      </c>
      <c r="M151" s="5" t="str">
        <f t="shared" si="14"/>
        <v>NORMAL</v>
      </c>
      <c r="N151" s="5" t="str">
        <f t="shared" si="15"/>
        <v/>
      </c>
      <c r="O151" s="12"/>
      <c r="P151" s="12"/>
      <c r="Q151" s="12"/>
      <c r="R151" s="12" t="s">
        <v>63</v>
      </c>
      <c r="S151" s="12"/>
    </row>
    <row r="152" spans="1:19" x14ac:dyDescent="0.25">
      <c r="A152" s="5" t="s">
        <v>353</v>
      </c>
      <c r="B152" s="5" t="s">
        <v>354</v>
      </c>
      <c r="C152" s="6">
        <v>17.8</v>
      </c>
      <c r="D152" s="8">
        <v>9</v>
      </c>
      <c r="E152" s="6">
        <v>2.5</v>
      </c>
      <c r="F152" s="6">
        <v>5.5E-2</v>
      </c>
      <c r="G152" s="5"/>
      <c r="H152" s="7" t="s">
        <v>61</v>
      </c>
      <c r="I152" s="5" t="s">
        <v>62</v>
      </c>
      <c r="J152" s="5" t="str">
        <f>IF(COUNTIF(packages_master!$A:$A,A152)&gt;0,"Y","N")</f>
        <v>N</v>
      </c>
      <c r="K152" s="5" t="str">
        <f t="shared" si="12"/>
        <v/>
      </c>
      <c r="L152" s="5" t="str">
        <f t="shared" si="13"/>
        <v/>
      </c>
      <c r="M152" s="5" t="str">
        <f t="shared" si="14"/>
        <v>NORMAL</v>
      </c>
      <c r="N152" s="5" t="str">
        <f t="shared" si="15"/>
        <v/>
      </c>
      <c r="O152" s="12"/>
      <c r="P152" s="12"/>
      <c r="Q152" s="12"/>
      <c r="R152" s="12" t="s">
        <v>63</v>
      </c>
      <c r="S152" s="12"/>
    </row>
    <row r="153" spans="1:19" x14ac:dyDescent="0.25">
      <c r="A153" s="5" t="s">
        <v>355</v>
      </c>
      <c r="B153" s="5" t="s">
        <v>356</v>
      </c>
      <c r="C153" s="6">
        <v>17.8</v>
      </c>
      <c r="D153" s="8">
        <v>9</v>
      </c>
      <c r="E153" s="6">
        <v>2.5</v>
      </c>
      <c r="F153" s="6">
        <v>5.5E-2</v>
      </c>
      <c r="G153" s="5"/>
      <c r="H153" s="7" t="s">
        <v>61</v>
      </c>
      <c r="I153" s="5" t="s">
        <v>62</v>
      </c>
      <c r="J153" s="5" t="str">
        <f>IF(COUNTIF(packages_master!$A:$A,A153)&gt;0,"Y","N")</f>
        <v>N</v>
      </c>
      <c r="K153" s="5" t="str">
        <f t="shared" si="12"/>
        <v/>
      </c>
      <c r="L153" s="5" t="str">
        <f t="shared" si="13"/>
        <v/>
      </c>
      <c r="M153" s="5" t="str">
        <f t="shared" si="14"/>
        <v>NORMAL</v>
      </c>
      <c r="N153" s="5" t="str">
        <f t="shared" si="15"/>
        <v/>
      </c>
      <c r="O153" s="12"/>
      <c r="P153" s="12"/>
      <c r="Q153" s="12"/>
      <c r="R153" s="12" t="s">
        <v>63</v>
      </c>
      <c r="S153" s="12"/>
    </row>
    <row r="154" spans="1:19" x14ac:dyDescent="0.25">
      <c r="A154" s="5" t="s">
        <v>357</v>
      </c>
      <c r="B154" s="5" t="s">
        <v>358</v>
      </c>
      <c r="C154" s="6">
        <v>19.399999999999999</v>
      </c>
      <c r="D154" s="8">
        <v>7</v>
      </c>
      <c r="E154" s="6">
        <v>2.8</v>
      </c>
      <c r="F154" s="6">
        <v>4.8000000000000001E-2</v>
      </c>
      <c r="G154" s="5"/>
      <c r="H154" s="7" t="s">
        <v>61</v>
      </c>
      <c r="I154" s="5" t="s">
        <v>62</v>
      </c>
      <c r="J154" s="5" t="str">
        <f>IF(COUNTIF(packages_master!$A:$A,A154)&gt;0,"Y","N")</f>
        <v>N</v>
      </c>
      <c r="K154" s="5" t="str">
        <f t="shared" si="12"/>
        <v/>
      </c>
      <c r="L154" s="5" t="str">
        <f t="shared" si="13"/>
        <v/>
      </c>
      <c r="M154" s="5" t="str">
        <f t="shared" si="14"/>
        <v>NORMAL</v>
      </c>
      <c r="N154" s="5" t="str">
        <f t="shared" si="15"/>
        <v/>
      </c>
      <c r="O154" s="12"/>
      <c r="P154" s="12"/>
      <c r="Q154" s="12"/>
      <c r="R154" s="12" t="s">
        <v>63</v>
      </c>
      <c r="S154" s="12"/>
    </row>
    <row r="155" spans="1:19" x14ac:dyDescent="0.25">
      <c r="A155" s="5" t="s">
        <v>359</v>
      </c>
      <c r="B155" s="5" t="s">
        <v>360</v>
      </c>
      <c r="C155" s="6">
        <v>19.399999999999999</v>
      </c>
      <c r="D155" s="8">
        <v>7</v>
      </c>
      <c r="E155" s="6">
        <v>2.8</v>
      </c>
      <c r="F155" s="6">
        <v>4.8000000000000001E-2</v>
      </c>
      <c r="G155" s="5"/>
      <c r="H155" s="7" t="s">
        <v>61</v>
      </c>
      <c r="I155" s="5" t="s">
        <v>62</v>
      </c>
      <c r="J155" s="5" t="str">
        <f>IF(COUNTIF(packages_master!$A:$A,A155)&gt;0,"Y","N")</f>
        <v>N</v>
      </c>
      <c r="K155" s="5" t="str">
        <f t="shared" si="12"/>
        <v/>
      </c>
      <c r="L155" s="5" t="str">
        <f t="shared" si="13"/>
        <v/>
      </c>
      <c r="M155" s="5" t="str">
        <f t="shared" si="14"/>
        <v>NORMAL</v>
      </c>
      <c r="N155" s="5" t="str">
        <f t="shared" si="15"/>
        <v/>
      </c>
      <c r="O155" s="12"/>
      <c r="P155" s="12"/>
      <c r="Q155" s="12"/>
      <c r="R155" s="12" t="s">
        <v>63</v>
      </c>
      <c r="S155" s="12"/>
    </row>
    <row r="156" spans="1:19" x14ac:dyDescent="0.25">
      <c r="A156" s="5" t="s">
        <v>361</v>
      </c>
      <c r="B156" s="5" t="s">
        <v>362</v>
      </c>
      <c r="C156" s="6">
        <v>19.399999999999999</v>
      </c>
      <c r="D156" s="8">
        <v>7</v>
      </c>
      <c r="E156" s="6">
        <v>2.8</v>
      </c>
      <c r="F156" s="6">
        <v>4.8000000000000001E-2</v>
      </c>
      <c r="G156" s="5"/>
      <c r="H156" s="7" t="s">
        <v>61</v>
      </c>
      <c r="I156" s="5" t="s">
        <v>62</v>
      </c>
      <c r="J156" s="5" t="str">
        <f>IF(COUNTIF(packages_master!$A:$A,A156)&gt;0,"Y","N")</f>
        <v>N</v>
      </c>
      <c r="K156" s="5" t="str">
        <f t="shared" si="12"/>
        <v/>
      </c>
      <c r="L156" s="5" t="str">
        <f t="shared" si="13"/>
        <v/>
      </c>
      <c r="M156" s="5" t="str">
        <f t="shared" si="14"/>
        <v>NORMAL</v>
      </c>
      <c r="N156" s="5" t="str">
        <f t="shared" si="15"/>
        <v/>
      </c>
      <c r="O156" s="12"/>
      <c r="P156" s="12"/>
      <c r="Q156" s="12"/>
      <c r="R156" s="12" t="s">
        <v>63</v>
      </c>
      <c r="S156" s="12"/>
    </row>
    <row r="157" spans="1:19" x14ac:dyDescent="0.25">
      <c r="A157" s="5" t="s">
        <v>363</v>
      </c>
      <c r="B157" s="5" t="s">
        <v>364</v>
      </c>
      <c r="C157" s="6">
        <v>19.399999999999999</v>
      </c>
      <c r="D157" s="6">
        <v>7.1</v>
      </c>
      <c r="E157" s="6">
        <v>2.9</v>
      </c>
      <c r="F157" s="6">
        <v>4.7E-2</v>
      </c>
      <c r="G157" s="5"/>
      <c r="H157" s="7" t="s">
        <v>61</v>
      </c>
      <c r="I157" s="5" t="s">
        <v>62</v>
      </c>
      <c r="J157" s="5" t="str">
        <f>IF(COUNTIF(packages_master!$A:$A,A157)&gt;0,"Y","N")</f>
        <v>N</v>
      </c>
      <c r="K157" s="5" t="str">
        <f t="shared" si="12"/>
        <v/>
      </c>
      <c r="L157" s="5" t="str">
        <f t="shared" si="13"/>
        <v/>
      </c>
      <c r="M157" s="5" t="str">
        <f t="shared" si="14"/>
        <v>NORMAL</v>
      </c>
      <c r="N157" s="5" t="str">
        <f t="shared" si="15"/>
        <v/>
      </c>
      <c r="O157" s="12"/>
      <c r="P157" s="12"/>
      <c r="Q157" s="12"/>
      <c r="R157" s="12" t="s">
        <v>63</v>
      </c>
      <c r="S157" s="12"/>
    </row>
    <row r="158" spans="1:19" x14ac:dyDescent="0.25">
      <c r="A158" s="5" t="s">
        <v>365</v>
      </c>
      <c r="B158" s="5" t="s">
        <v>366</v>
      </c>
      <c r="C158" s="8">
        <v>17</v>
      </c>
      <c r="D158" s="6">
        <v>8.5</v>
      </c>
      <c r="E158" s="6">
        <v>2.7</v>
      </c>
      <c r="F158" s="6">
        <v>0.121</v>
      </c>
      <c r="G158" s="5"/>
      <c r="H158" s="7" t="s">
        <v>61</v>
      </c>
      <c r="I158" s="5" t="s">
        <v>62</v>
      </c>
      <c r="J158" s="5" t="str">
        <f>IF(COUNTIF(packages_master!$A:$A,A158)&gt;0,"Y","N")</f>
        <v>N</v>
      </c>
      <c r="K158" s="5" t="str">
        <f t="shared" si="12"/>
        <v/>
      </c>
      <c r="L158" s="5" t="str">
        <f t="shared" si="13"/>
        <v/>
      </c>
      <c r="M158" s="5" t="str">
        <f t="shared" si="14"/>
        <v>NORMAL</v>
      </c>
      <c r="N158" s="5" t="str">
        <f t="shared" si="15"/>
        <v/>
      </c>
      <c r="O158" s="12"/>
      <c r="P158" s="12"/>
      <c r="Q158" s="12"/>
      <c r="R158" s="12" t="s">
        <v>63</v>
      </c>
      <c r="S158" s="12"/>
    </row>
    <row r="159" spans="1:19" x14ac:dyDescent="0.25">
      <c r="A159" s="5" t="s">
        <v>367</v>
      </c>
      <c r="B159" s="5" t="s">
        <v>368</v>
      </c>
      <c r="C159" s="8">
        <v>17</v>
      </c>
      <c r="D159" s="6">
        <v>8.5</v>
      </c>
      <c r="E159" s="6">
        <v>2.7</v>
      </c>
      <c r="F159" s="6">
        <v>0.121</v>
      </c>
      <c r="G159" s="5"/>
      <c r="H159" s="7" t="s">
        <v>61</v>
      </c>
      <c r="I159" s="5" t="s">
        <v>62</v>
      </c>
      <c r="J159" s="5" t="str">
        <f>IF(COUNTIF(packages_master!$A:$A,A159)&gt;0,"Y","N")</f>
        <v>N</v>
      </c>
      <c r="K159" s="5" t="str">
        <f t="shared" si="12"/>
        <v/>
      </c>
      <c r="L159" s="5" t="str">
        <f t="shared" si="13"/>
        <v/>
      </c>
      <c r="M159" s="5" t="str">
        <f t="shared" si="14"/>
        <v>NORMAL</v>
      </c>
      <c r="N159" s="5" t="str">
        <f t="shared" si="15"/>
        <v/>
      </c>
      <c r="O159" s="12"/>
      <c r="P159" s="12"/>
      <c r="Q159" s="12"/>
      <c r="R159" s="12" t="s">
        <v>63</v>
      </c>
      <c r="S159" s="12"/>
    </row>
    <row r="160" spans="1:19" x14ac:dyDescent="0.25">
      <c r="A160" s="5" t="s">
        <v>369</v>
      </c>
      <c r="B160" s="5" t="s">
        <v>370</v>
      </c>
      <c r="C160" s="6">
        <v>16.899999999999999</v>
      </c>
      <c r="D160" s="6">
        <v>8.4</v>
      </c>
      <c r="E160" s="6">
        <v>2.8</v>
      </c>
      <c r="F160" s="6">
        <v>0.13600000000000001</v>
      </c>
      <c r="G160" s="5"/>
      <c r="H160" s="7" t="s">
        <v>61</v>
      </c>
      <c r="I160" s="5" t="s">
        <v>62</v>
      </c>
      <c r="J160" s="5" t="str">
        <f>IF(COUNTIF(packages_master!$A:$A,A160)&gt;0,"Y","N")</f>
        <v>N</v>
      </c>
      <c r="K160" s="5" t="str">
        <f t="shared" si="12"/>
        <v/>
      </c>
      <c r="L160" s="5" t="str">
        <f t="shared" si="13"/>
        <v/>
      </c>
      <c r="M160" s="5" t="str">
        <f t="shared" si="14"/>
        <v>NORMAL</v>
      </c>
      <c r="N160" s="5" t="str">
        <f t="shared" si="15"/>
        <v/>
      </c>
      <c r="O160" s="12"/>
      <c r="P160" s="12"/>
      <c r="Q160" s="12"/>
      <c r="R160" s="12" t="s">
        <v>63</v>
      </c>
      <c r="S160" s="12"/>
    </row>
    <row r="161" spans="1:19" x14ac:dyDescent="0.25">
      <c r="A161" s="5" t="s">
        <v>371</v>
      </c>
      <c r="B161" s="5" t="s">
        <v>372</v>
      </c>
      <c r="C161" s="6">
        <v>19.2</v>
      </c>
      <c r="D161" s="6">
        <v>7.2</v>
      </c>
      <c r="E161" s="6">
        <v>2.8</v>
      </c>
      <c r="F161" s="6">
        <v>5.0999999999999997E-2</v>
      </c>
      <c r="G161" s="5"/>
      <c r="H161" s="7" t="s">
        <v>61</v>
      </c>
      <c r="I161" s="5" t="s">
        <v>62</v>
      </c>
      <c r="J161" s="5" t="str">
        <f>IF(COUNTIF(packages_master!$A:$A,A161)&gt;0,"Y","N")</f>
        <v>N</v>
      </c>
      <c r="K161" s="5" t="str">
        <f t="shared" si="12"/>
        <v/>
      </c>
      <c r="L161" s="5" t="str">
        <f t="shared" si="13"/>
        <v/>
      </c>
      <c r="M161" s="5" t="str">
        <f t="shared" si="14"/>
        <v>NORMAL</v>
      </c>
      <c r="N161" s="5" t="str">
        <f t="shared" si="15"/>
        <v/>
      </c>
      <c r="O161" s="12"/>
      <c r="P161" s="12"/>
      <c r="Q161" s="12"/>
      <c r="R161" s="12" t="s">
        <v>63</v>
      </c>
      <c r="S161" s="12"/>
    </row>
    <row r="162" spans="1:19" x14ac:dyDescent="0.25">
      <c r="A162" s="5" t="s">
        <v>373</v>
      </c>
      <c r="B162" s="5" t="s">
        <v>374</v>
      </c>
      <c r="C162" s="6">
        <v>19.2</v>
      </c>
      <c r="D162" s="6">
        <v>7.2</v>
      </c>
      <c r="E162" s="6">
        <v>2.8</v>
      </c>
      <c r="F162" s="6">
        <v>5.0999999999999997E-2</v>
      </c>
      <c r="G162" s="5"/>
      <c r="H162" s="7" t="s">
        <v>61</v>
      </c>
      <c r="I162" s="5" t="s">
        <v>62</v>
      </c>
      <c r="J162" s="5" t="str">
        <f>IF(COUNTIF(packages_master!$A:$A,A162)&gt;0,"Y","N")</f>
        <v>N</v>
      </c>
      <c r="K162" s="5" t="str">
        <f t="shared" si="12"/>
        <v/>
      </c>
      <c r="L162" s="5" t="str">
        <f t="shared" si="13"/>
        <v/>
      </c>
      <c r="M162" s="5" t="str">
        <f t="shared" si="14"/>
        <v>NORMAL</v>
      </c>
      <c r="N162" s="5" t="str">
        <f t="shared" si="15"/>
        <v/>
      </c>
      <c r="O162" s="12"/>
      <c r="P162" s="12"/>
      <c r="Q162" s="12"/>
      <c r="R162" s="12" t="s">
        <v>63</v>
      </c>
      <c r="S162" s="12"/>
    </row>
    <row r="163" spans="1:19" x14ac:dyDescent="0.25">
      <c r="A163" s="5" t="s">
        <v>375</v>
      </c>
      <c r="B163" s="5" t="s">
        <v>376</v>
      </c>
      <c r="C163" s="6">
        <v>19.2</v>
      </c>
      <c r="D163" s="6">
        <v>7.2</v>
      </c>
      <c r="E163" s="6">
        <v>2.8</v>
      </c>
      <c r="F163" s="6">
        <v>4.9000000000000002E-2</v>
      </c>
      <c r="G163" s="5"/>
      <c r="H163" s="7" t="s">
        <v>61</v>
      </c>
      <c r="I163" s="5" t="s">
        <v>62</v>
      </c>
      <c r="J163" s="5" t="str">
        <f>IF(COUNTIF(packages_master!$A:$A,A163)&gt;0,"Y","N")</f>
        <v>N</v>
      </c>
      <c r="K163" s="5" t="str">
        <f t="shared" si="12"/>
        <v/>
      </c>
      <c r="L163" s="5" t="str">
        <f t="shared" si="13"/>
        <v/>
      </c>
      <c r="M163" s="5" t="str">
        <f t="shared" si="14"/>
        <v>NORMAL</v>
      </c>
      <c r="N163" s="5" t="str">
        <f t="shared" si="15"/>
        <v/>
      </c>
      <c r="O163" s="12"/>
      <c r="P163" s="12"/>
      <c r="Q163" s="12"/>
      <c r="R163" s="12" t="s">
        <v>63</v>
      </c>
      <c r="S163" s="12"/>
    </row>
    <row r="164" spans="1:19" x14ac:dyDescent="0.25">
      <c r="A164" s="5" t="s">
        <v>377</v>
      </c>
      <c r="B164" s="5" t="s">
        <v>378</v>
      </c>
      <c r="C164" s="6">
        <v>12.6</v>
      </c>
      <c r="D164" s="6">
        <v>11.2</v>
      </c>
      <c r="E164" s="6">
        <v>2.7</v>
      </c>
      <c r="F164" s="6">
        <v>0.14599999999999999</v>
      </c>
      <c r="G164" s="5"/>
      <c r="H164" s="7" t="s">
        <v>61</v>
      </c>
      <c r="I164" s="5" t="s">
        <v>62</v>
      </c>
      <c r="J164" s="5" t="str">
        <f>IF(COUNTIF(packages_master!$A:$A,A164)&gt;0,"Y","N")</f>
        <v>N</v>
      </c>
      <c r="K164" s="5" t="str">
        <f t="shared" si="12"/>
        <v/>
      </c>
      <c r="L164" s="5" t="str">
        <f t="shared" si="13"/>
        <v/>
      </c>
      <c r="M164" s="5" t="str">
        <f t="shared" si="14"/>
        <v>NORMAL</v>
      </c>
      <c r="N164" s="5" t="str">
        <f t="shared" si="15"/>
        <v/>
      </c>
      <c r="O164" s="12"/>
      <c r="P164" s="12"/>
      <c r="Q164" s="12"/>
      <c r="R164" s="12" t="s">
        <v>63</v>
      </c>
      <c r="S164" s="12"/>
    </row>
    <row r="165" spans="1:19" x14ac:dyDescent="0.25">
      <c r="A165" s="5" t="s">
        <v>379</v>
      </c>
      <c r="B165" s="5" t="s">
        <v>380</v>
      </c>
      <c r="C165" s="8">
        <v>20</v>
      </c>
      <c r="D165" s="6">
        <v>7.6</v>
      </c>
      <c r="E165" s="6">
        <v>7.3</v>
      </c>
      <c r="F165" s="6">
        <v>0.13</v>
      </c>
      <c r="G165" s="5"/>
      <c r="H165" s="7" t="s">
        <v>61</v>
      </c>
      <c r="I165" s="5" t="s">
        <v>62</v>
      </c>
      <c r="J165" s="5" t="str">
        <f>IF(COUNTIF(packages_master!$A:$A,A165)&gt;0,"Y","N")</f>
        <v>N</v>
      </c>
      <c r="K165" s="5" t="str">
        <f t="shared" si="12"/>
        <v/>
      </c>
      <c r="L165" s="5" t="str">
        <f t="shared" si="13"/>
        <v/>
      </c>
      <c r="M165" s="5" t="str">
        <f t="shared" si="14"/>
        <v>NORMAL</v>
      </c>
      <c r="N165" s="5" t="str">
        <f t="shared" si="15"/>
        <v/>
      </c>
      <c r="O165" s="12"/>
      <c r="P165" s="12"/>
      <c r="Q165" s="12"/>
      <c r="R165" s="12" t="s">
        <v>63</v>
      </c>
      <c r="S165" s="12"/>
    </row>
    <row r="166" spans="1:19" x14ac:dyDescent="0.25">
      <c r="A166" s="5" t="s">
        <v>381</v>
      </c>
      <c r="B166" s="5" t="s">
        <v>382</v>
      </c>
      <c r="C166" s="6">
        <v>19.5</v>
      </c>
      <c r="D166" s="6">
        <v>5.4</v>
      </c>
      <c r="E166" s="8">
        <v>7</v>
      </c>
      <c r="F166" s="6">
        <v>8.1000000000000003E-2</v>
      </c>
      <c r="G166" s="5"/>
      <c r="H166" s="7" t="s">
        <v>61</v>
      </c>
      <c r="I166" s="5" t="s">
        <v>62</v>
      </c>
      <c r="J166" s="5" t="str">
        <f>IF(COUNTIF(packages_master!$A:$A,A166)&gt;0,"Y","N")</f>
        <v>N</v>
      </c>
      <c r="K166" s="5" t="str">
        <f t="shared" si="12"/>
        <v/>
      </c>
      <c r="L166" s="5" t="str">
        <f t="shared" si="13"/>
        <v/>
      </c>
      <c r="M166" s="5" t="str">
        <f t="shared" si="14"/>
        <v>NORMAL</v>
      </c>
      <c r="N166" s="5" t="str">
        <f t="shared" si="15"/>
        <v/>
      </c>
      <c r="O166" s="12"/>
      <c r="P166" s="12"/>
      <c r="Q166" s="12"/>
      <c r="R166" s="12" t="s">
        <v>63</v>
      </c>
      <c r="S166" s="12"/>
    </row>
    <row r="167" spans="1:19" x14ac:dyDescent="0.25">
      <c r="A167" s="5" t="s">
        <v>383</v>
      </c>
      <c r="B167" s="5" t="s">
        <v>384</v>
      </c>
      <c r="C167" s="8">
        <v>22</v>
      </c>
      <c r="D167" s="6">
        <v>7.2</v>
      </c>
      <c r="E167" s="8">
        <v>3</v>
      </c>
      <c r="F167" s="6">
        <v>4.7E-2</v>
      </c>
      <c r="G167" s="5"/>
      <c r="H167" s="7" t="s">
        <v>61</v>
      </c>
      <c r="I167" s="5" t="s">
        <v>62</v>
      </c>
      <c r="J167" s="5" t="str">
        <f>IF(COUNTIF(packages_master!$A:$A,A167)&gt;0,"Y","N")</f>
        <v>N</v>
      </c>
      <c r="K167" s="5" t="str">
        <f t="shared" si="12"/>
        <v/>
      </c>
      <c r="L167" s="5" t="str">
        <f t="shared" si="13"/>
        <v/>
      </c>
      <c r="M167" s="5" t="str">
        <f t="shared" si="14"/>
        <v>NORMAL</v>
      </c>
      <c r="N167" s="5" t="str">
        <f t="shared" si="15"/>
        <v/>
      </c>
      <c r="O167" s="12"/>
      <c r="P167" s="12"/>
      <c r="Q167" s="12"/>
      <c r="R167" s="12" t="s">
        <v>63</v>
      </c>
      <c r="S167" s="12"/>
    </row>
    <row r="168" spans="1:19" x14ac:dyDescent="0.25">
      <c r="A168" s="5" t="s">
        <v>385</v>
      </c>
      <c r="B168" s="5" t="s">
        <v>386</v>
      </c>
      <c r="C168" s="8">
        <v>22</v>
      </c>
      <c r="D168" s="6">
        <v>7.2</v>
      </c>
      <c r="E168" s="8">
        <v>3</v>
      </c>
      <c r="F168" s="6">
        <v>4.7E-2</v>
      </c>
      <c r="G168" s="5"/>
      <c r="H168" s="7" t="s">
        <v>61</v>
      </c>
      <c r="I168" s="5" t="s">
        <v>62</v>
      </c>
      <c r="J168" s="5" t="str">
        <f>IF(COUNTIF(packages_master!$A:$A,A168)&gt;0,"Y","N")</f>
        <v>N</v>
      </c>
      <c r="K168" s="5" t="str">
        <f t="shared" si="12"/>
        <v/>
      </c>
      <c r="L168" s="5" t="str">
        <f t="shared" si="13"/>
        <v/>
      </c>
      <c r="M168" s="5" t="str">
        <f t="shared" si="14"/>
        <v>NORMAL</v>
      </c>
      <c r="N168" s="5" t="str">
        <f t="shared" si="15"/>
        <v/>
      </c>
      <c r="O168" s="12"/>
      <c r="P168" s="12"/>
      <c r="Q168" s="12"/>
      <c r="R168" s="12" t="s">
        <v>63</v>
      </c>
      <c r="S168" s="12"/>
    </row>
    <row r="169" spans="1:19" x14ac:dyDescent="0.25">
      <c r="A169" s="5" t="s">
        <v>387</v>
      </c>
      <c r="B169" s="5" t="s">
        <v>388</v>
      </c>
      <c r="C169" s="8">
        <v>22</v>
      </c>
      <c r="D169" s="6">
        <v>7.2</v>
      </c>
      <c r="E169" s="8">
        <v>3</v>
      </c>
      <c r="F169" s="6">
        <v>4.7E-2</v>
      </c>
      <c r="G169" s="5"/>
      <c r="H169" s="7" t="s">
        <v>61</v>
      </c>
      <c r="I169" s="5" t="s">
        <v>62</v>
      </c>
      <c r="J169" s="5" t="str">
        <f>IF(COUNTIF(packages_master!$A:$A,A169)&gt;0,"Y","N")</f>
        <v>N</v>
      </c>
      <c r="K169" s="5" t="str">
        <f t="shared" si="12"/>
        <v/>
      </c>
      <c r="L169" s="5" t="str">
        <f t="shared" si="13"/>
        <v/>
      </c>
      <c r="M169" s="5" t="str">
        <f t="shared" si="14"/>
        <v>NORMAL</v>
      </c>
      <c r="N169" s="5" t="str">
        <f t="shared" si="15"/>
        <v/>
      </c>
      <c r="O169" s="12"/>
      <c r="P169" s="12"/>
      <c r="Q169" s="12"/>
      <c r="R169" s="12" t="s">
        <v>63</v>
      </c>
      <c r="S169" s="12"/>
    </row>
    <row r="170" spans="1:19" x14ac:dyDescent="0.25">
      <c r="A170" s="5" t="s">
        <v>389</v>
      </c>
      <c r="B170" s="5" t="s">
        <v>390</v>
      </c>
      <c r="C170" s="6">
        <v>19.5</v>
      </c>
      <c r="D170" s="6">
        <v>7.5</v>
      </c>
      <c r="E170" s="6">
        <v>2.9</v>
      </c>
      <c r="F170" s="6">
        <v>6.9000000000000006E-2</v>
      </c>
      <c r="G170" s="5"/>
      <c r="H170" s="7" t="s">
        <v>61</v>
      </c>
      <c r="I170" s="5" t="s">
        <v>62</v>
      </c>
      <c r="J170" s="5" t="str">
        <f>IF(COUNTIF(packages_master!$A:$A,A170)&gt;0,"Y","N")</f>
        <v>N</v>
      </c>
      <c r="K170" s="5" t="str">
        <f t="shared" si="12"/>
        <v/>
      </c>
      <c r="L170" s="5" t="str">
        <f t="shared" si="13"/>
        <v/>
      </c>
      <c r="M170" s="5" t="str">
        <f t="shared" si="14"/>
        <v>NORMAL</v>
      </c>
      <c r="N170" s="5" t="str">
        <f t="shared" si="15"/>
        <v/>
      </c>
      <c r="O170" s="12"/>
      <c r="P170" s="12"/>
      <c r="Q170" s="12"/>
      <c r="R170" s="12" t="s">
        <v>63</v>
      </c>
      <c r="S170" s="12"/>
    </row>
    <row r="171" spans="1:19" x14ac:dyDescent="0.25">
      <c r="A171" s="5" t="s">
        <v>391</v>
      </c>
      <c r="B171" s="5" t="s">
        <v>392</v>
      </c>
      <c r="C171" s="6">
        <v>19.5</v>
      </c>
      <c r="D171" s="6">
        <v>7.5</v>
      </c>
      <c r="E171" s="6">
        <v>2.9</v>
      </c>
      <c r="F171" s="6">
        <v>6.9000000000000006E-2</v>
      </c>
      <c r="G171" s="5"/>
      <c r="H171" s="7" t="s">
        <v>61</v>
      </c>
      <c r="I171" s="5" t="s">
        <v>62</v>
      </c>
      <c r="J171" s="5" t="str">
        <f>IF(COUNTIF(packages_master!$A:$A,A171)&gt;0,"Y","N")</f>
        <v>N</v>
      </c>
      <c r="K171" s="5" t="str">
        <f t="shared" si="12"/>
        <v/>
      </c>
      <c r="L171" s="5" t="str">
        <f t="shared" si="13"/>
        <v/>
      </c>
      <c r="M171" s="5" t="str">
        <f t="shared" si="14"/>
        <v>NORMAL</v>
      </c>
      <c r="N171" s="5" t="str">
        <f t="shared" si="15"/>
        <v/>
      </c>
      <c r="O171" s="12"/>
      <c r="P171" s="12"/>
      <c r="Q171" s="12"/>
      <c r="R171" s="12" t="s">
        <v>63</v>
      </c>
      <c r="S171" s="12"/>
    </row>
    <row r="172" spans="1:19" x14ac:dyDescent="0.25">
      <c r="A172" s="5" t="s">
        <v>393</v>
      </c>
      <c r="B172" s="5" t="s">
        <v>394</v>
      </c>
      <c r="C172" s="6">
        <v>19.5</v>
      </c>
      <c r="D172" s="6">
        <v>7.5</v>
      </c>
      <c r="E172" s="6">
        <v>2.9</v>
      </c>
      <c r="F172" s="6">
        <v>6.9000000000000006E-2</v>
      </c>
      <c r="G172" s="5"/>
      <c r="H172" s="7" t="s">
        <v>61</v>
      </c>
      <c r="I172" s="5" t="s">
        <v>62</v>
      </c>
      <c r="J172" s="5" t="str">
        <f>IF(COUNTIF(packages_master!$A:$A,A172)&gt;0,"Y","N")</f>
        <v>N</v>
      </c>
      <c r="K172" s="5" t="str">
        <f t="shared" si="12"/>
        <v/>
      </c>
      <c r="L172" s="5" t="str">
        <f t="shared" si="13"/>
        <v/>
      </c>
      <c r="M172" s="5" t="str">
        <f t="shared" si="14"/>
        <v>NORMAL</v>
      </c>
      <c r="N172" s="5" t="str">
        <f t="shared" si="15"/>
        <v/>
      </c>
      <c r="O172" s="12"/>
      <c r="P172" s="12"/>
      <c r="Q172" s="12"/>
      <c r="R172" s="12" t="s">
        <v>63</v>
      </c>
      <c r="S172" s="12"/>
    </row>
    <row r="173" spans="1:19" x14ac:dyDescent="0.25">
      <c r="A173" s="5" t="s">
        <v>395</v>
      </c>
      <c r="B173" s="5" t="s">
        <v>396</v>
      </c>
      <c r="C173" s="6">
        <v>17.3</v>
      </c>
      <c r="D173" s="6">
        <v>7.8</v>
      </c>
      <c r="E173" s="6">
        <v>4.7</v>
      </c>
      <c r="F173" s="6">
        <v>6.6000000000000003E-2</v>
      </c>
      <c r="G173" s="5"/>
      <c r="H173" s="7" t="s">
        <v>61</v>
      </c>
      <c r="I173" s="5" t="s">
        <v>62</v>
      </c>
      <c r="J173" s="5" t="str">
        <f>IF(COUNTIF(packages_master!$A:$A,A173)&gt;0,"Y","N")</f>
        <v>N</v>
      </c>
      <c r="K173" s="5" t="str">
        <f t="shared" si="12"/>
        <v/>
      </c>
      <c r="L173" s="5" t="str">
        <f t="shared" si="13"/>
        <v/>
      </c>
      <c r="M173" s="5" t="str">
        <f t="shared" si="14"/>
        <v>NORMAL</v>
      </c>
      <c r="N173" s="5" t="str">
        <f t="shared" si="15"/>
        <v/>
      </c>
      <c r="O173" s="12"/>
      <c r="P173" s="12"/>
      <c r="Q173" s="12"/>
      <c r="R173" s="12" t="s">
        <v>63</v>
      </c>
      <c r="S173" s="12"/>
    </row>
    <row r="174" spans="1:19" x14ac:dyDescent="0.25">
      <c r="A174" s="5" t="s">
        <v>397</v>
      </c>
      <c r="B174" s="5" t="s">
        <v>398</v>
      </c>
      <c r="C174" s="8">
        <v>17</v>
      </c>
      <c r="D174" s="6">
        <v>7.2</v>
      </c>
      <c r="E174" s="6">
        <v>5.2</v>
      </c>
      <c r="F174" s="6">
        <v>6.4000000000000001E-2</v>
      </c>
      <c r="G174" s="5"/>
      <c r="H174" s="7" t="s">
        <v>61</v>
      </c>
      <c r="I174" s="5" t="s">
        <v>62</v>
      </c>
      <c r="J174" s="5" t="str">
        <f>IF(COUNTIF(packages_master!$A:$A,A174)&gt;0,"Y","N")</f>
        <v>N</v>
      </c>
      <c r="K174" s="5" t="str">
        <f t="shared" si="12"/>
        <v/>
      </c>
      <c r="L174" s="5" t="str">
        <f t="shared" si="13"/>
        <v/>
      </c>
      <c r="M174" s="5" t="str">
        <f t="shared" si="14"/>
        <v>NORMAL</v>
      </c>
      <c r="N174" s="5" t="str">
        <f t="shared" si="15"/>
        <v/>
      </c>
      <c r="O174" s="12"/>
      <c r="P174" s="12"/>
      <c r="Q174" s="12"/>
      <c r="R174" s="12" t="s">
        <v>63</v>
      </c>
      <c r="S174" s="12"/>
    </row>
    <row r="175" spans="1:19" x14ac:dyDescent="0.25">
      <c r="A175" s="5" t="s">
        <v>399</v>
      </c>
      <c r="B175" s="5" t="s">
        <v>400</v>
      </c>
      <c r="C175" s="6">
        <v>17.3</v>
      </c>
      <c r="D175" s="6">
        <v>7.8</v>
      </c>
      <c r="E175" s="6">
        <v>4.7</v>
      </c>
      <c r="F175" s="6">
        <v>7.0000000000000007E-2</v>
      </c>
      <c r="G175" s="5"/>
      <c r="H175" s="7" t="s">
        <v>61</v>
      </c>
      <c r="I175" s="5" t="s">
        <v>62</v>
      </c>
      <c r="J175" s="5" t="str">
        <f>IF(COUNTIF(packages_master!$A:$A,A175)&gt;0,"Y","N")</f>
        <v>N</v>
      </c>
      <c r="K175" s="5" t="str">
        <f t="shared" si="12"/>
        <v/>
      </c>
      <c r="L175" s="5" t="str">
        <f t="shared" si="13"/>
        <v/>
      </c>
      <c r="M175" s="5" t="str">
        <f t="shared" si="14"/>
        <v>NORMAL</v>
      </c>
      <c r="N175" s="5" t="str">
        <f t="shared" si="15"/>
        <v/>
      </c>
      <c r="O175" s="12"/>
      <c r="P175" s="12"/>
      <c r="Q175" s="12"/>
      <c r="R175" s="12" t="s">
        <v>63</v>
      </c>
      <c r="S175" s="12"/>
    </row>
    <row r="176" spans="1:19" x14ac:dyDescent="0.25">
      <c r="A176" s="5" t="s">
        <v>401</v>
      </c>
      <c r="B176" s="5" t="s">
        <v>402</v>
      </c>
      <c r="C176" s="6">
        <v>17.100000000000001</v>
      </c>
      <c r="D176" s="8">
        <v>8</v>
      </c>
      <c r="E176" s="6">
        <v>3.2</v>
      </c>
      <c r="F176" s="6">
        <v>0.151</v>
      </c>
      <c r="G176" s="5"/>
      <c r="H176" s="7" t="s">
        <v>61</v>
      </c>
      <c r="I176" s="5" t="s">
        <v>62</v>
      </c>
      <c r="J176" s="5" t="str">
        <f>IF(COUNTIF(packages_master!$A:$A,A176)&gt;0,"Y","N")</f>
        <v>N</v>
      </c>
      <c r="K176" s="5" t="str">
        <f t="shared" si="12"/>
        <v/>
      </c>
      <c r="L176" s="5" t="str">
        <f t="shared" si="13"/>
        <v/>
      </c>
      <c r="M176" s="5" t="str">
        <f t="shared" si="14"/>
        <v>NORMAL</v>
      </c>
      <c r="N176" s="5" t="str">
        <f t="shared" si="15"/>
        <v/>
      </c>
      <c r="O176" s="12"/>
      <c r="P176" s="12"/>
      <c r="Q176" s="12"/>
      <c r="R176" s="12" t="s">
        <v>63</v>
      </c>
      <c r="S176" s="12"/>
    </row>
    <row r="177" spans="1:19" x14ac:dyDescent="0.25">
      <c r="A177" s="5" t="s">
        <v>403</v>
      </c>
      <c r="B177" s="5" t="s">
        <v>404</v>
      </c>
      <c r="C177" s="6">
        <v>9.1999999999999993</v>
      </c>
      <c r="D177" s="6">
        <v>5.6</v>
      </c>
      <c r="E177" s="6">
        <v>0.7</v>
      </c>
      <c r="F177" s="6">
        <v>2.1000000000000001E-2</v>
      </c>
      <c r="G177" s="5"/>
      <c r="H177" s="7" t="s">
        <v>61</v>
      </c>
      <c r="I177" s="5" t="s">
        <v>62</v>
      </c>
      <c r="J177" s="5" t="str">
        <f>IF(COUNTIF(packages_master!$A:$A,A177)&gt;0,"Y","N")</f>
        <v>N</v>
      </c>
      <c r="K177" s="5" t="str">
        <f t="shared" si="12"/>
        <v/>
      </c>
      <c r="L177" s="5" t="str">
        <f t="shared" si="13"/>
        <v/>
      </c>
      <c r="M177" s="5" t="str">
        <f t="shared" si="14"/>
        <v>NORMAL</v>
      </c>
      <c r="N177" s="5" t="str">
        <f t="shared" si="15"/>
        <v/>
      </c>
      <c r="O177" s="12"/>
      <c r="P177" s="12"/>
      <c r="Q177" s="12"/>
      <c r="R177" s="12" t="s">
        <v>63</v>
      </c>
      <c r="S177" s="12"/>
    </row>
    <row r="178" spans="1:19" x14ac:dyDescent="0.25">
      <c r="A178" s="5" t="s">
        <v>233</v>
      </c>
      <c r="B178" s="5" t="s">
        <v>405</v>
      </c>
      <c r="C178" s="6">
        <v>9.1999999999999993</v>
      </c>
      <c r="D178" s="6">
        <v>5.6</v>
      </c>
      <c r="E178" s="6">
        <v>0.7</v>
      </c>
      <c r="F178" s="6">
        <v>2.1999999999999999E-2</v>
      </c>
      <c r="G178" s="5"/>
      <c r="H178" s="7" t="s">
        <v>61</v>
      </c>
      <c r="I178" s="5" t="s">
        <v>62</v>
      </c>
      <c r="J178" s="5" t="str">
        <f>IF(COUNTIF(packages_master!$A:$A,A178)&gt;0,"Y","N")</f>
        <v>N</v>
      </c>
      <c r="K178" s="5" t="str">
        <f t="shared" si="12"/>
        <v/>
      </c>
      <c r="L178" s="5" t="str">
        <f t="shared" si="13"/>
        <v/>
      </c>
      <c r="M178" s="5" t="str">
        <f t="shared" si="14"/>
        <v>NORMAL</v>
      </c>
      <c r="N178" s="5" t="str">
        <f t="shared" si="15"/>
        <v/>
      </c>
      <c r="O178" s="12"/>
      <c r="P178" s="12"/>
      <c r="Q178" s="12"/>
      <c r="R178" s="12" t="s">
        <v>63</v>
      </c>
      <c r="S178" s="12"/>
    </row>
    <row r="179" spans="1:19" x14ac:dyDescent="0.25">
      <c r="A179" s="5" t="s">
        <v>406</v>
      </c>
      <c r="B179" s="5" t="s">
        <v>407</v>
      </c>
      <c r="C179" s="8">
        <v>18</v>
      </c>
      <c r="D179" s="6">
        <v>10.199999999999999</v>
      </c>
      <c r="E179" s="6">
        <v>3.8</v>
      </c>
      <c r="F179" s="6">
        <v>0.2</v>
      </c>
      <c r="G179" s="5"/>
      <c r="H179" s="7" t="s">
        <v>61</v>
      </c>
      <c r="I179" s="5" t="s">
        <v>62</v>
      </c>
      <c r="J179" s="5" t="str">
        <f>IF(COUNTIF(packages_master!$A:$A,A179)&gt;0,"Y","N")</f>
        <v>N</v>
      </c>
      <c r="K179" s="5" t="str">
        <f t="shared" si="12"/>
        <v/>
      </c>
      <c r="L179" s="5" t="str">
        <f t="shared" si="13"/>
        <v/>
      </c>
      <c r="M179" s="5" t="str">
        <f t="shared" si="14"/>
        <v>NORMAL</v>
      </c>
      <c r="N179" s="5" t="str">
        <f t="shared" si="15"/>
        <v/>
      </c>
      <c r="O179" s="12"/>
      <c r="P179" s="12"/>
      <c r="Q179" s="12"/>
      <c r="R179" s="12" t="s">
        <v>63</v>
      </c>
      <c r="S179" s="12"/>
    </row>
    <row r="180" spans="1:19" x14ac:dyDescent="0.25">
      <c r="A180" s="5" t="s">
        <v>408</v>
      </c>
      <c r="B180" s="5" t="s">
        <v>409</v>
      </c>
      <c r="C180" s="6">
        <v>10.199999999999999</v>
      </c>
      <c r="D180" s="6">
        <v>4.0999999999999996</v>
      </c>
      <c r="E180" s="8">
        <v>4</v>
      </c>
      <c r="F180" s="6">
        <v>0.104</v>
      </c>
      <c r="G180" s="5"/>
      <c r="H180" s="7" t="s">
        <v>61</v>
      </c>
      <c r="I180" s="5" t="s">
        <v>62</v>
      </c>
      <c r="J180" s="5" t="str">
        <f>IF(COUNTIF(packages_master!$A:$A,A180)&gt;0,"Y","N")</f>
        <v>N</v>
      </c>
      <c r="K180" s="5" t="str">
        <f t="shared" si="12"/>
        <v/>
      </c>
      <c r="L180" s="5" t="str">
        <f t="shared" si="13"/>
        <v/>
      </c>
      <c r="M180" s="5" t="str">
        <f t="shared" si="14"/>
        <v>NORMAL</v>
      </c>
      <c r="N180" s="5" t="str">
        <f t="shared" si="15"/>
        <v/>
      </c>
      <c r="O180" s="12"/>
      <c r="P180" s="12"/>
      <c r="Q180" s="12"/>
      <c r="R180" s="12" t="s">
        <v>63</v>
      </c>
      <c r="S180" s="12"/>
    </row>
    <row r="181" spans="1:19" x14ac:dyDescent="0.25">
      <c r="A181" s="5" t="s">
        <v>410</v>
      </c>
      <c r="B181" s="5" t="s">
        <v>411</v>
      </c>
      <c r="C181" s="6">
        <v>10.6</v>
      </c>
      <c r="D181" s="6">
        <v>8.5</v>
      </c>
      <c r="E181" s="6">
        <v>8.8000000000000007</v>
      </c>
      <c r="F181" s="6">
        <v>0.112</v>
      </c>
      <c r="G181" s="5"/>
      <c r="H181" s="7" t="s">
        <v>61</v>
      </c>
      <c r="I181" s="5" t="s">
        <v>62</v>
      </c>
      <c r="J181" s="5" t="str">
        <f>IF(COUNTIF(packages_master!$A:$A,A181)&gt;0,"Y","N")</f>
        <v>N</v>
      </c>
      <c r="K181" s="5" t="str">
        <f t="shared" si="12"/>
        <v/>
      </c>
      <c r="L181" s="5" t="str">
        <f t="shared" si="13"/>
        <v/>
      </c>
      <c r="M181" s="5" t="str">
        <f t="shared" si="14"/>
        <v>NORMAL</v>
      </c>
      <c r="N181" s="5" t="str">
        <f t="shared" si="15"/>
        <v/>
      </c>
      <c r="O181" s="12"/>
      <c r="P181" s="12"/>
      <c r="Q181" s="12"/>
      <c r="R181" s="12" t="s">
        <v>63</v>
      </c>
      <c r="S181" s="12"/>
    </row>
    <row r="182" spans="1:19" x14ac:dyDescent="0.25">
      <c r="A182" s="5" t="s">
        <v>412</v>
      </c>
      <c r="B182" s="5" t="s">
        <v>413</v>
      </c>
      <c r="C182" s="6">
        <v>10.6</v>
      </c>
      <c r="D182" s="6">
        <v>8.5</v>
      </c>
      <c r="E182" s="6">
        <v>8.8000000000000007</v>
      </c>
      <c r="F182" s="6">
        <v>0.111</v>
      </c>
      <c r="G182" s="5"/>
      <c r="H182" s="7" t="s">
        <v>61</v>
      </c>
      <c r="I182" s="5" t="s">
        <v>62</v>
      </c>
      <c r="J182" s="5" t="str">
        <f>IF(COUNTIF(packages_master!$A:$A,A182)&gt;0,"Y","N")</f>
        <v>N</v>
      </c>
      <c r="K182" s="5" t="str">
        <f t="shared" si="12"/>
        <v/>
      </c>
      <c r="L182" s="5" t="str">
        <f t="shared" si="13"/>
        <v/>
      </c>
      <c r="M182" s="5" t="str">
        <f t="shared" si="14"/>
        <v>NORMAL</v>
      </c>
      <c r="N182" s="5" t="str">
        <f t="shared" si="15"/>
        <v/>
      </c>
      <c r="O182" s="12"/>
      <c r="P182" s="12"/>
      <c r="Q182" s="12"/>
      <c r="R182" s="12" t="s">
        <v>63</v>
      </c>
      <c r="S182" s="12"/>
    </row>
    <row r="183" spans="1:19" x14ac:dyDescent="0.25">
      <c r="A183" s="5" t="s">
        <v>414</v>
      </c>
      <c r="B183" s="5" t="s">
        <v>415</v>
      </c>
      <c r="C183" s="6">
        <v>10.6</v>
      </c>
      <c r="D183" s="6">
        <v>8.5</v>
      </c>
      <c r="E183" s="6">
        <v>8.8000000000000007</v>
      </c>
      <c r="F183" s="6">
        <v>0.105</v>
      </c>
      <c r="G183" s="5"/>
      <c r="H183" s="7" t="s">
        <v>61</v>
      </c>
      <c r="I183" s="5" t="s">
        <v>62</v>
      </c>
      <c r="J183" s="5" t="str">
        <f>IF(COUNTIF(packages_master!$A:$A,A183)&gt;0,"Y","N")</f>
        <v>N</v>
      </c>
      <c r="K183" s="5" t="str">
        <f t="shared" si="12"/>
        <v/>
      </c>
      <c r="L183" s="5" t="str">
        <f t="shared" si="13"/>
        <v/>
      </c>
      <c r="M183" s="5" t="str">
        <f t="shared" si="14"/>
        <v>NORMAL</v>
      </c>
      <c r="N183" s="5" t="str">
        <f t="shared" si="15"/>
        <v/>
      </c>
      <c r="O183" s="12"/>
      <c r="P183" s="12"/>
      <c r="Q183" s="12"/>
      <c r="R183" s="12" t="s">
        <v>63</v>
      </c>
      <c r="S183" s="12"/>
    </row>
    <row r="184" spans="1:19" x14ac:dyDescent="0.25">
      <c r="A184" s="5" t="s">
        <v>416</v>
      </c>
      <c r="B184" s="5" t="s">
        <v>417</v>
      </c>
      <c r="C184" s="6">
        <v>10.6</v>
      </c>
      <c r="D184" s="6">
        <v>8.5</v>
      </c>
      <c r="E184" s="6">
        <v>8.8000000000000007</v>
      </c>
      <c r="F184" s="6">
        <v>0.105</v>
      </c>
      <c r="G184" s="5"/>
      <c r="H184" s="7" t="s">
        <v>61</v>
      </c>
      <c r="I184" s="5" t="s">
        <v>62</v>
      </c>
      <c r="J184" s="5" t="str">
        <f>IF(COUNTIF(packages_master!$A:$A,A184)&gt;0,"Y","N")</f>
        <v>N</v>
      </c>
      <c r="K184" s="5" t="str">
        <f t="shared" si="12"/>
        <v/>
      </c>
      <c r="L184" s="5" t="str">
        <f t="shared" si="13"/>
        <v/>
      </c>
      <c r="M184" s="5" t="str">
        <f t="shared" si="14"/>
        <v>NORMAL</v>
      </c>
      <c r="N184" s="5" t="str">
        <f t="shared" si="15"/>
        <v/>
      </c>
      <c r="O184" s="12"/>
      <c r="P184" s="12"/>
      <c r="Q184" s="12"/>
      <c r="R184" s="12" t="s">
        <v>63</v>
      </c>
      <c r="S184" s="12"/>
    </row>
    <row r="185" spans="1:19" x14ac:dyDescent="0.25">
      <c r="A185" s="5" t="s">
        <v>418</v>
      </c>
      <c r="B185" s="5" t="s">
        <v>419</v>
      </c>
      <c r="C185" s="6">
        <v>10.6</v>
      </c>
      <c r="D185" s="6">
        <v>8.5</v>
      </c>
      <c r="E185" s="6">
        <v>8.8000000000000007</v>
      </c>
      <c r="F185" s="6">
        <v>0.111</v>
      </c>
      <c r="G185" s="5"/>
      <c r="H185" s="7" t="s">
        <v>61</v>
      </c>
      <c r="I185" s="5" t="s">
        <v>62</v>
      </c>
      <c r="J185" s="5" t="str">
        <f>IF(COUNTIF(packages_master!$A:$A,A185)&gt;0,"Y","N")</f>
        <v>N</v>
      </c>
      <c r="K185" s="5" t="str">
        <f t="shared" si="12"/>
        <v/>
      </c>
      <c r="L185" s="5" t="str">
        <f t="shared" si="13"/>
        <v/>
      </c>
      <c r="M185" s="5" t="str">
        <f t="shared" si="14"/>
        <v>NORMAL</v>
      </c>
      <c r="N185" s="5" t="str">
        <f t="shared" si="15"/>
        <v/>
      </c>
      <c r="O185" s="12"/>
      <c r="P185" s="12"/>
      <c r="Q185" s="12"/>
      <c r="R185" s="12" t="s">
        <v>63</v>
      </c>
      <c r="S185" s="12"/>
    </row>
    <row r="186" spans="1:19" x14ac:dyDescent="0.25">
      <c r="A186" s="5" t="s">
        <v>420</v>
      </c>
      <c r="B186" s="5" t="s">
        <v>421</v>
      </c>
      <c r="C186" s="6">
        <v>10.6</v>
      </c>
      <c r="D186" s="6">
        <v>8.5</v>
      </c>
      <c r="E186" s="6">
        <v>8.8000000000000007</v>
      </c>
      <c r="F186" s="6">
        <v>0.106</v>
      </c>
      <c r="G186" s="5"/>
      <c r="H186" s="7" t="s">
        <v>61</v>
      </c>
      <c r="I186" s="5" t="s">
        <v>62</v>
      </c>
      <c r="J186" s="5" t="str">
        <f>IF(COUNTIF(packages_master!$A:$A,A186)&gt;0,"Y","N")</f>
        <v>N</v>
      </c>
      <c r="K186" s="5" t="str">
        <f t="shared" si="12"/>
        <v/>
      </c>
      <c r="L186" s="5" t="str">
        <f t="shared" si="13"/>
        <v/>
      </c>
      <c r="M186" s="5" t="str">
        <f t="shared" si="14"/>
        <v>NORMAL</v>
      </c>
      <c r="N186" s="5" t="str">
        <f t="shared" si="15"/>
        <v/>
      </c>
      <c r="O186" s="12"/>
      <c r="P186" s="12"/>
      <c r="Q186" s="12"/>
      <c r="R186" s="12" t="s">
        <v>63</v>
      </c>
      <c r="S186" s="12"/>
    </row>
    <row r="187" spans="1:19" x14ac:dyDescent="0.25">
      <c r="A187" s="5" t="s">
        <v>422</v>
      </c>
      <c r="B187" s="5" t="s">
        <v>423</v>
      </c>
      <c r="C187" s="6">
        <v>10.6</v>
      </c>
      <c r="D187" s="6">
        <v>8.5</v>
      </c>
      <c r="E187" s="6">
        <v>8.8000000000000007</v>
      </c>
      <c r="F187" s="6">
        <v>0.112</v>
      </c>
      <c r="G187" s="5"/>
      <c r="H187" s="7" t="s">
        <v>61</v>
      </c>
      <c r="I187" s="5" t="s">
        <v>62</v>
      </c>
      <c r="J187" s="5" t="str">
        <f>IF(COUNTIF(packages_master!$A:$A,A187)&gt;0,"Y","N")</f>
        <v>N</v>
      </c>
      <c r="K187" s="5" t="str">
        <f t="shared" si="12"/>
        <v/>
      </c>
      <c r="L187" s="5" t="str">
        <f t="shared" si="13"/>
        <v/>
      </c>
      <c r="M187" s="5" t="str">
        <f t="shared" si="14"/>
        <v>NORMAL</v>
      </c>
      <c r="N187" s="5" t="str">
        <f t="shared" si="15"/>
        <v/>
      </c>
      <c r="O187" s="12"/>
      <c r="P187" s="12"/>
      <c r="Q187" s="12"/>
      <c r="R187" s="12" t="s">
        <v>63</v>
      </c>
      <c r="S187" s="12"/>
    </row>
    <row r="188" spans="1:19" x14ac:dyDescent="0.25">
      <c r="A188" s="5" t="s">
        <v>424</v>
      </c>
      <c r="B188" s="5" t="s">
        <v>425</v>
      </c>
      <c r="C188" s="6">
        <v>10.6</v>
      </c>
      <c r="D188" s="6">
        <v>8.5</v>
      </c>
      <c r="E188" s="6">
        <v>8.8000000000000007</v>
      </c>
      <c r="F188" s="6">
        <v>0.112</v>
      </c>
      <c r="G188" s="5"/>
      <c r="H188" s="7" t="s">
        <v>61</v>
      </c>
      <c r="I188" s="5" t="s">
        <v>62</v>
      </c>
      <c r="J188" s="5" t="str">
        <f>IF(COUNTIF(packages_master!$A:$A,A188)&gt;0,"Y","N")</f>
        <v>N</v>
      </c>
      <c r="K188" s="5" t="str">
        <f t="shared" si="12"/>
        <v/>
      </c>
      <c r="L188" s="5" t="str">
        <f t="shared" si="13"/>
        <v/>
      </c>
      <c r="M188" s="5" t="str">
        <f t="shared" si="14"/>
        <v>NORMAL</v>
      </c>
      <c r="N188" s="5" t="str">
        <f t="shared" si="15"/>
        <v/>
      </c>
      <c r="O188" s="12"/>
      <c r="P188" s="12"/>
      <c r="Q188" s="12"/>
      <c r="R188" s="12" t="s">
        <v>63</v>
      </c>
      <c r="S188" s="12"/>
    </row>
    <row r="189" spans="1:19" x14ac:dyDescent="0.25">
      <c r="A189" s="5" t="s">
        <v>426</v>
      </c>
      <c r="B189" s="5" t="s">
        <v>427</v>
      </c>
      <c r="C189" s="6">
        <v>10.6</v>
      </c>
      <c r="D189" s="6">
        <v>8.5</v>
      </c>
      <c r="E189" s="6">
        <v>8.8000000000000007</v>
      </c>
      <c r="F189" s="6">
        <v>0.112</v>
      </c>
      <c r="G189" s="5"/>
      <c r="H189" s="7" t="s">
        <v>61</v>
      </c>
      <c r="I189" s="5" t="s">
        <v>62</v>
      </c>
      <c r="J189" s="5" t="str">
        <f>IF(COUNTIF(packages_master!$A:$A,A189)&gt;0,"Y","N")</f>
        <v>N</v>
      </c>
      <c r="K189" s="5" t="str">
        <f t="shared" si="12"/>
        <v/>
      </c>
      <c r="L189" s="5" t="str">
        <f t="shared" si="13"/>
        <v/>
      </c>
      <c r="M189" s="5" t="str">
        <f t="shared" si="14"/>
        <v>NORMAL</v>
      </c>
      <c r="N189" s="5" t="str">
        <f t="shared" si="15"/>
        <v/>
      </c>
      <c r="O189" s="12"/>
      <c r="P189" s="12"/>
      <c r="Q189" s="12"/>
      <c r="R189" s="12" t="s">
        <v>63</v>
      </c>
      <c r="S189" s="12"/>
    </row>
    <row r="190" spans="1:19" x14ac:dyDescent="0.25">
      <c r="A190" s="5" t="s">
        <v>428</v>
      </c>
      <c r="B190" s="5" t="s">
        <v>429</v>
      </c>
      <c r="C190" s="6">
        <v>10.6</v>
      </c>
      <c r="D190" s="6">
        <v>8.5</v>
      </c>
      <c r="E190" s="6">
        <v>8.8000000000000007</v>
      </c>
      <c r="F190" s="6">
        <v>0.111</v>
      </c>
      <c r="G190" s="5"/>
      <c r="H190" s="7" t="s">
        <v>61</v>
      </c>
      <c r="I190" s="5" t="s">
        <v>62</v>
      </c>
      <c r="J190" s="5" t="str">
        <f>IF(COUNTIF(packages_master!$A:$A,A190)&gt;0,"Y","N")</f>
        <v>N</v>
      </c>
      <c r="K190" s="5" t="str">
        <f t="shared" si="12"/>
        <v/>
      </c>
      <c r="L190" s="5" t="str">
        <f t="shared" si="13"/>
        <v/>
      </c>
      <c r="M190" s="5" t="str">
        <f t="shared" si="14"/>
        <v>NORMAL</v>
      </c>
      <c r="N190" s="5" t="str">
        <f t="shared" si="15"/>
        <v/>
      </c>
      <c r="O190" s="12"/>
      <c r="P190" s="12"/>
      <c r="Q190" s="12"/>
      <c r="R190" s="12" t="s">
        <v>63</v>
      </c>
      <c r="S190" s="12"/>
    </row>
    <row r="191" spans="1:19" x14ac:dyDescent="0.25">
      <c r="A191" s="5" t="s">
        <v>430</v>
      </c>
      <c r="B191" s="5" t="s">
        <v>431</v>
      </c>
      <c r="C191" s="6">
        <v>10.6</v>
      </c>
      <c r="D191" s="6">
        <v>8.5</v>
      </c>
      <c r="E191" s="6">
        <v>8.8000000000000007</v>
      </c>
      <c r="F191" s="6">
        <v>0.111</v>
      </c>
      <c r="G191" s="5"/>
      <c r="H191" s="7" t="s">
        <v>61</v>
      </c>
      <c r="I191" s="5" t="s">
        <v>62</v>
      </c>
      <c r="J191" s="5" t="str">
        <f>IF(COUNTIF(packages_master!$A:$A,A191)&gt;0,"Y","N")</f>
        <v>N</v>
      </c>
      <c r="K191" s="5" t="str">
        <f t="shared" si="12"/>
        <v/>
      </c>
      <c r="L191" s="5" t="str">
        <f t="shared" si="13"/>
        <v/>
      </c>
      <c r="M191" s="5" t="str">
        <f t="shared" si="14"/>
        <v>NORMAL</v>
      </c>
      <c r="N191" s="5" t="str">
        <f t="shared" si="15"/>
        <v/>
      </c>
      <c r="O191" s="12"/>
      <c r="P191" s="12"/>
      <c r="Q191" s="12"/>
      <c r="R191" s="12" t="s">
        <v>63</v>
      </c>
      <c r="S191" s="12"/>
    </row>
    <row r="192" spans="1:19" x14ac:dyDescent="0.25">
      <c r="A192" s="5" t="s">
        <v>432</v>
      </c>
      <c r="B192" s="5" t="s">
        <v>433</v>
      </c>
      <c r="C192" s="6">
        <v>10.8</v>
      </c>
      <c r="D192" s="6">
        <v>10.8</v>
      </c>
      <c r="E192" s="6">
        <v>7.7</v>
      </c>
      <c r="F192" s="6">
        <v>0.26600000000000001</v>
      </c>
      <c r="G192" s="5"/>
      <c r="H192" s="7" t="s">
        <v>61</v>
      </c>
      <c r="I192" s="5" t="s">
        <v>62</v>
      </c>
      <c r="J192" s="5" t="str">
        <f>IF(COUNTIF(packages_master!$A:$A,A192)&gt;0,"Y","N")</f>
        <v>N</v>
      </c>
      <c r="K192" s="5" t="str">
        <f t="shared" si="12"/>
        <v/>
      </c>
      <c r="L192" s="5" t="str">
        <f t="shared" si="13"/>
        <v/>
      </c>
      <c r="M192" s="5" t="str">
        <f t="shared" si="14"/>
        <v>NORMAL</v>
      </c>
      <c r="N192" s="5" t="str">
        <f t="shared" si="15"/>
        <v/>
      </c>
      <c r="O192" s="12"/>
      <c r="P192" s="12"/>
      <c r="Q192" s="12"/>
      <c r="R192" s="12" t="s">
        <v>63</v>
      </c>
      <c r="S192" s="12"/>
    </row>
    <row r="193" spans="1:19" x14ac:dyDescent="0.25">
      <c r="A193" s="5" t="s">
        <v>434</v>
      </c>
      <c r="B193" s="5" t="s">
        <v>435</v>
      </c>
      <c r="C193" s="6">
        <v>23.2</v>
      </c>
      <c r="D193" s="6">
        <v>7.5</v>
      </c>
      <c r="E193" s="6">
        <v>3.2</v>
      </c>
      <c r="F193" s="6">
        <v>7.5999999999999998E-2</v>
      </c>
      <c r="G193" s="5"/>
      <c r="H193" s="7" t="s">
        <v>61</v>
      </c>
      <c r="I193" s="5" t="s">
        <v>62</v>
      </c>
      <c r="J193" s="5" t="str">
        <f>IF(COUNTIF(packages_master!$A:$A,A193)&gt;0,"Y","N")</f>
        <v>N</v>
      </c>
      <c r="K193" s="5" t="str">
        <f t="shared" si="12"/>
        <v/>
      </c>
      <c r="L193" s="5" t="str">
        <f t="shared" si="13"/>
        <v/>
      </c>
      <c r="M193" s="5" t="str">
        <f t="shared" si="14"/>
        <v>NORMAL</v>
      </c>
      <c r="N193" s="5" t="str">
        <f t="shared" si="15"/>
        <v/>
      </c>
      <c r="O193" s="12"/>
      <c r="P193" s="12"/>
      <c r="Q193" s="12"/>
      <c r="R193" s="12" t="s">
        <v>63</v>
      </c>
      <c r="S193" s="12"/>
    </row>
    <row r="194" spans="1:19" x14ac:dyDescent="0.25">
      <c r="A194" s="5" t="s">
        <v>436</v>
      </c>
      <c r="B194" s="5" t="s">
        <v>437</v>
      </c>
      <c r="C194" s="6">
        <v>11.7</v>
      </c>
      <c r="D194" s="6">
        <v>11.8</v>
      </c>
      <c r="E194" s="6">
        <v>3.2</v>
      </c>
      <c r="F194" s="6">
        <v>0.109</v>
      </c>
      <c r="G194" s="5"/>
      <c r="H194" s="7" t="s">
        <v>61</v>
      </c>
      <c r="I194" s="5" t="s">
        <v>62</v>
      </c>
      <c r="J194" s="5" t="str">
        <f>IF(COUNTIF(packages_master!$A:$A,A194)&gt;0,"Y","N")</f>
        <v>N</v>
      </c>
      <c r="K194" s="5" t="str">
        <f t="shared" si="12"/>
        <v/>
      </c>
      <c r="L194" s="5" t="str">
        <f t="shared" si="13"/>
        <v/>
      </c>
      <c r="M194" s="5" t="str">
        <f t="shared" si="14"/>
        <v>NORMAL</v>
      </c>
      <c r="N194" s="5" t="str">
        <f t="shared" si="15"/>
        <v/>
      </c>
      <c r="O194" s="12"/>
      <c r="P194" s="12"/>
      <c r="Q194" s="12"/>
      <c r="R194" s="12" t="s">
        <v>63</v>
      </c>
      <c r="S194" s="12"/>
    </row>
    <row r="195" spans="1:19" x14ac:dyDescent="0.25">
      <c r="A195" s="5" t="s">
        <v>438</v>
      </c>
      <c r="B195" s="5" t="s">
        <v>439</v>
      </c>
      <c r="C195" s="6">
        <v>15.6</v>
      </c>
      <c r="D195" s="6">
        <v>11.8</v>
      </c>
      <c r="E195" s="6">
        <v>4.5999999999999996</v>
      </c>
      <c r="F195" s="6">
        <v>0.27500000000000002</v>
      </c>
      <c r="G195" s="5"/>
      <c r="H195" s="7" t="s">
        <v>61</v>
      </c>
      <c r="I195" s="5" t="s">
        <v>62</v>
      </c>
      <c r="J195" s="5" t="str">
        <f>IF(COUNTIF(packages_master!$A:$A,A195)&gt;0,"Y","N")</f>
        <v>N</v>
      </c>
      <c r="K195" s="5" t="str">
        <f t="shared" si="12"/>
        <v/>
      </c>
      <c r="L195" s="5" t="str">
        <f t="shared" si="13"/>
        <v/>
      </c>
      <c r="M195" s="5" t="str">
        <f t="shared" si="14"/>
        <v>NORMAL</v>
      </c>
      <c r="N195" s="5" t="str">
        <f t="shared" si="15"/>
        <v/>
      </c>
      <c r="O195" s="12"/>
      <c r="P195" s="12"/>
      <c r="Q195" s="12"/>
      <c r="R195" s="12" t="s">
        <v>63</v>
      </c>
      <c r="S195" s="12"/>
    </row>
    <row r="196" spans="1:19" x14ac:dyDescent="0.25">
      <c r="A196" s="5" t="s">
        <v>440</v>
      </c>
      <c r="B196" s="5" t="s">
        <v>441</v>
      </c>
      <c r="C196" s="6">
        <v>16.3</v>
      </c>
      <c r="D196" s="8">
        <v>6</v>
      </c>
      <c r="E196" s="6">
        <v>3.3</v>
      </c>
      <c r="F196" s="6">
        <v>0.06</v>
      </c>
      <c r="G196" s="5"/>
      <c r="H196" s="7" t="s">
        <v>61</v>
      </c>
      <c r="I196" s="5" t="s">
        <v>62</v>
      </c>
      <c r="J196" s="5" t="str">
        <f>IF(COUNTIF(packages_master!$A:$A,A196)&gt;0,"Y","N")</f>
        <v>N</v>
      </c>
      <c r="K196" s="5" t="str">
        <f t="shared" si="12"/>
        <v/>
      </c>
      <c r="L196" s="5" t="str">
        <f t="shared" si="13"/>
        <v/>
      </c>
      <c r="M196" s="5" t="str">
        <f t="shared" si="14"/>
        <v>NORMAL</v>
      </c>
      <c r="N196" s="5" t="str">
        <f t="shared" si="15"/>
        <v/>
      </c>
      <c r="O196" s="12"/>
      <c r="P196" s="12"/>
      <c r="Q196" s="12"/>
      <c r="R196" s="12" t="s">
        <v>63</v>
      </c>
      <c r="S196" s="12"/>
    </row>
    <row r="197" spans="1:19" x14ac:dyDescent="0.25">
      <c r="A197" s="5" t="s">
        <v>442</v>
      </c>
      <c r="B197" s="5" t="s">
        <v>443</v>
      </c>
      <c r="C197" s="6">
        <v>19.5</v>
      </c>
      <c r="D197" s="6">
        <v>7.1</v>
      </c>
      <c r="E197" s="8">
        <v>3</v>
      </c>
      <c r="F197" s="6">
        <v>4.9000000000000002E-2</v>
      </c>
      <c r="G197" s="5"/>
      <c r="H197" s="7" t="s">
        <v>61</v>
      </c>
      <c r="I197" s="5" t="s">
        <v>62</v>
      </c>
      <c r="J197" s="5" t="str">
        <f>IF(COUNTIF(packages_master!$A:$A,A197)&gt;0,"Y","N")</f>
        <v>N</v>
      </c>
      <c r="K197" s="5" t="str">
        <f t="shared" si="12"/>
        <v/>
      </c>
      <c r="L197" s="5" t="str">
        <f t="shared" si="13"/>
        <v/>
      </c>
      <c r="M197" s="5" t="str">
        <f t="shared" si="14"/>
        <v>NORMAL</v>
      </c>
      <c r="N197" s="5" t="str">
        <f t="shared" si="15"/>
        <v/>
      </c>
      <c r="O197" s="12"/>
      <c r="P197" s="12"/>
      <c r="Q197" s="12"/>
      <c r="R197" s="12" t="s">
        <v>63</v>
      </c>
      <c r="S197" s="12"/>
    </row>
    <row r="198" spans="1:19" x14ac:dyDescent="0.25">
      <c r="A198" s="5" t="s">
        <v>444</v>
      </c>
      <c r="B198" s="5" t="s">
        <v>445</v>
      </c>
      <c r="C198" s="6">
        <v>19.5</v>
      </c>
      <c r="D198" s="6">
        <v>7.1</v>
      </c>
      <c r="E198" s="8">
        <v>3</v>
      </c>
      <c r="F198" s="6">
        <v>5.0999999999999997E-2</v>
      </c>
      <c r="G198" s="5"/>
      <c r="H198" s="7" t="s">
        <v>61</v>
      </c>
      <c r="I198" s="5" t="s">
        <v>62</v>
      </c>
      <c r="J198" s="5" t="str">
        <f>IF(COUNTIF(packages_master!$A:$A,A198)&gt;0,"Y","N")</f>
        <v>N</v>
      </c>
      <c r="K198" s="5" t="str">
        <f t="shared" si="12"/>
        <v/>
      </c>
      <c r="L198" s="5" t="str">
        <f t="shared" si="13"/>
        <v/>
      </c>
      <c r="M198" s="5" t="str">
        <f t="shared" si="14"/>
        <v>NORMAL</v>
      </c>
      <c r="N198" s="5" t="str">
        <f t="shared" si="15"/>
        <v/>
      </c>
      <c r="O198" s="12"/>
      <c r="P198" s="12"/>
      <c r="Q198" s="12"/>
      <c r="R198" s="12" t="s">
        <v>63</v>
      </c>
      <c r="S198" s="12"/>
    </row>
    <row r="199" spans="1:19" x14ac:dyDescent="0.25">
      <c r="A199" s="5" t="s">
        <v>446</v>
      </c>
      <c r="B199" s="5" t="s">
        <v>447</v>
      </c>
      <c r="C199" s="6">
        <v>19.5</v>
      </c>
      <c r="D199" s="6">
        <v>7.1</v>
      </c>
      <c r="E199" s="8">
        <v>3</v>
      </c>
      <c r="F199" s="6">
        <v>5.0999999999999997E-2</v>
      </c>
      <c r="G199" s="5"/>
      <c r="H199" s="7" t="s">
        <v>61</v>
      </c>
      <c r="I199" s="5" t="s">
        <v>62</v>
      </c>
      <c r="J199" s="5" t="str">
        <f>IF(COUNTIF(packages_master!$A:$A,A199)&gt;0,"Y","N")</f>
        <v>N</v>
      </c>
      <c r="K199" s="5" t="str">
        <f t="shared" si="12"/>
        <v/>
      </c>
      <c r="L199" s="5" t="str">
        <f t="shared" si="13"/>
        <v/>
      </c>
      <c r="M199" s="5" t="str">
        <f t="shared" si="14"/>
        <v>NORMAL</v>
      </c>
      <c r="N199" s="5" t="str">
        <f t="shared" si="15"/>
        <v/>
      </c>
      <c r="O199" s="12"/>
      <c r="P199" s="12"/>
      <c r="Q199" s="12"/>
      <c r="R199" s="12" t="s">
        <v>63</v>
      </c>
      <c r="S199" s="12"/>
    </row>
    <row r="200" spans="1:19" x14ac:dyDescent="0.25">
      <c r="A200" s="5" t="s">
        <v>448</v>
      </c>
      <c r="B200" s="5" t="s">
        <v>449</v>
      </c>
      <c r="C200" s="6">
        <v>19.5</v>
      </c>
      <c r="D200" s="6">
        <v>7.1</v>
      </c>
      <c r="E200" s="8">
        <v>3</v>
      </c>
      <c r="F200" s="6">
        <v>5.2999999999999999E-2</v>
      </c>
      <c r="G200" s="5"/>
      <c r="H200" s="7" t="s">
        <v>61</v>
      </c>
      <c r="I200" s="5" t="s">
        <v>62</v>
      </c>
      <c r="J200" s="5" t="str">
        <f>IF(COUNTIF(packages_master!$A:$A,A200)&gt;0,"Y","N")</f>
        <v>N</v>
      </c>
      <c r="K200" s="5" t="str">
        <f t="shared" si="12"/>
        <v/>
      </c>
      <c r="L200" s="5" t="str">
        <f t="shared" si="13"/>
        <v/>
      </c>
      <c r="M200" s="5" t="str">
        <f t="shared" si="14"/>
        <v>NORMAL</v>
      </c>
      <c r="N200" s="5" t="str">
        <f t="shared" si="15"/>
        <v/>
      </c>
      <c r="O200" s="12"/>
      <c r="P200" s="12"/>
      <c r="Q200" s="12"/>
      <c r="R200" s="12" t="s">
        <v>63</v>
      </c>
      <c r="S200" s="12"/>
    </row>
    <row r="201" spans="1:19" x14ac:dyDescent="0.25">
      <c r="A201" s="5" t="s">
        <v>450</v>
      </c>
      <c r="B201" s="5" t="s">
        <v>451</v>
      </c>
      <c r="C201" s="6">
        <v>13.2</v>
      </c>
      <c r="D201" s="6">
        <v>8.1999999999999993</v>
      </c>
      <c r="E201" s="8">
        <v>6</v>
      </c>
      <c r="F201" s="6">
        <v>0.183</v>
      </c>
      <c r="G201" s="5"/>
      <c r="H201" s="7" t="s">
        <v>61</v>
      </c>
      <c r="I201" s="5" t="s">
        <v>62</v>
      </c>
      <c r="J201" s="5" t="str">
        <f>IF(COUNTIF(packages_master!$A:$A,A201)&gt;0,"Y","N")</f>
        <v>N</v>
      </c>
      <c r="K201" s="5" t="str">
        <f t="shared" ref="K201:K265" si="16">IF(G201&lt;&gt;"","BX010","")</f>
        <v/>
      </c>
      <c r="L201" s="5" t="str">
        <f t="shared" ref="L201:L265" si="17">IF(G201&lt;&gt;"",300,"")</f>
        <v/>
      </c>
      <c r="M201" s="5" t="str">
        <f t="shared" ref="M201:M265" si="18">IF(J201="Y","PACKAGE_SEALED",IF(G201&lt;&gt;"","SPECIAL_300","NORMAL"))</f>
        <v>NORMAL</v>
      </c>
      <c r="N201" s="5" t="str">
        <f t="shared" ref="N201:N265" si="19">IF(J201="Y","packages_master","")</f>
        <v/>
      </c>
      <c r="O201" s="12"/>
      <c r="P201" s="12"/>
      <c r="Q201" s="12"/>
      <c r="R201" s="12" t="s">
        <v>63</v>
      </c>
      <c r="S201" s="12"/>
    </row>
    <row r="202" spans="1:19" x14ac:dyDescent="0.25">
      <c r="A202" s="5" t="s">
        <v>452</v>
      </c>
      <c r="B202" s="5" t="s">
        <v>453</v>
      </c>
      <c r="C202" s="6">
        <v>9.1999999999999993</v>
      </c>
      <c r="D202" s="6">
        <v>5.6</v>
      </c>
      <c r="E202" s="6">
        <v>1.1000000000000001</v>
      </c>
      <c r="F202" s="6">
        <v>2.1999999999999999E-2</v>
      </c>
      <c r="G202" s="5"/>
      <c r="H202" s="7" t="s">
        <v>61</v>
      </c>
      <c r="I202" s="5" t="s">
        <v>62</v>
      </c>
      <c r="J202" s="5" t="str">
        <f>IF(COUNTIF(packages_master!$A:$A,A202)&gt;0,"Y","N")</f>
        <v>N</v>
      </c>
      <c r="K202" s="5" t="str">
        <f t="shared" si="16"/>
        <v/>
      </c>
      <c r="L202" s="5" t="str">
        <f t="shared" si="17"/>
        <v/>
      </c>
      <c r="M202" s="5" t="str">
        <f t="shared" si="18"/>
        <v>NORMAL</v>
      </c>
      <c r="N202" s="5" t="str">
        <f t="shared" si="19"/>
        <v/>
      </c>
      <c r="O202" s="12"/>
      <c r="P202" s="12"/>
      <c r="Q202" s="12"/>
      <c r="R202" s="12" t="s">
        <v>63</v>
      </c>
      <c r="S202" s="12"/>
    </row>
    <row r="203" spans="1:19" x14ac:dyDescent="0.25">
      <c r="A203" s="5" t="s">
        <v>454</v>
      </c>
      <c r="B203" s="5" t="s">
        <v>455</v>
      </c>
      <c r="C203" s="6">
        <v>19.5</v>
      </c>
      <c r="D203" s="6">
        <v>7.5</v>
      </c>
      <c r="E203" s="6">
        <v>2.7</v>
      </c>
      <c r="F203" s="6">
        <v>6.2E-2</v>
      </c>
      <c r="G203" s="5" t="s">
        <v>456</v>
      </c>
      <c r="H203" s="7" t="s">
        <v>61</v>
      </c>
      <c r="I203" s="5" t="s">
        <v>62</v>
      </c>
      <c r="J203" s="5" t="str">
        <f>IF(COUNTIF(packages_master!$A:$A,A203)&gt;0,"Y","N")</f>
        <v>N</v>
      </c>
      <c r="K203" s="5" t="str">
        <f t="shared" si="16"/>
        <v>BX010</v>
      </c>
      <c r="L203" s="5">
        <f t="shared" si="17"/>
        <v>300</v>
      </c>
      <c r="M203" s="5" t="str">
        <f t="shared" si="18"/>
        <v>SPECIAL_300</v>
      </c>
      <c r="N203" s="5" t="str">
        <f t="shared" si="19"/>
        <v/>
      </c>
      <c r="O203" s="12"/>
      <c r="P203" s="12"/>
      <c r="Q203" s="12"/>
      <c r="R203" s="12" t="s">
        <v>63</v>
      </c>
      <c r="S203" s="12"/>
    </row>
    <row r="204" spans="1:19" x14ac:dyDescent="0.25">
      <c r="A204" s="5" t="s">
        <v>457</v>
      </c>
      <c r="B204" s="5" t="s">
        <v>458</v>
      </c>
      <c r="C204" s="6">
        <v>19.5</v>
      </c>
      <c r="D204" s="6">
        <v>7.5</v>
      </c>
      <c r="E204" s="6">
        <v>2.7</v>
      </c>
      <c r="F204" s="6">
        <v>6.2E-2</v>
      </c>
      <c r="G204" s="5" t="s">
        <v>456</v>
      </c>
      <c r="H204" s="7" t="s">
        <v>61</v>
      </c>
      <c r="I204" s="5" t="s">
        <v>62</v>
      </c>
      <c r="J204" s="5" t="str">
        <f>IF(COUNTIF(packages_master!$A:$A,A204)&gt;0,"Y","N")</f>
        <v>N</v>
      </c>
      <c r="K204" s="5" t="str">
        <f t="shared" si="16"/>
        <v>BX010</v>
      </c>
      <c r="L204" s="5">
        <f t="shared" si="17"/>
        <v>300</v>
      </c>
      <c r="M204" s="5" t="str">
        <f t="shared" si="18"/>
        <v>SPECIAL_300</v>
      </c>
      <c r="N204" s="5" t="str">
        <f t="shared" si="19"/>
        <v/>
      </c>
      <c r="O204" s="12"/>
      <c r="P204" s="12"/>
      <c r="Q204" s="12"/>
      <c r="R204" s="12" t="s">
        <v>63</v>
      </c>
      <c r="S204" s="12"/>
    </row>
    <row r="205" spans="1:19" x14ac:dyDescent="0.25">
      <c r="A205" s="5" t="s">
        <v>459</v>
      </c>
      <c r="B205" s="5" t="s">
        <v>460</v>
      </c>
      <c r="C205" s="6">
        <v>19.5</v>
      </c>
      <c r="D205" s="6">
        <v>7.5</v>
      </c>
      <c r="E205" s="6">
        <v>2.7</v>
      </c>
      <c r="F205" s="6">
        <v>0.06</v>
      </c>
      <c r="G205" s="5" t="s">
        <v>456</v>
      </c>
      <c r="H205" s="7" t="s">
        <v>61</v>
      </c>
      <c r="I205" s="5" t="s">
        <v>62</v>
      </c>
      <c r="J205" s="5" t="str">
        <f>IF(COUNTIF(packages_master!$A:$A,A205)&gt;0,"Y","N")</f>
        <v>N</v>
      </c>
      <c r="K205" s="5" t="str">
        <f t="shared" si="16"/>
        <v>BX010</v>
      </c>
      <c r="L205" s="5">
        <f t="shared" si="17"/>
        <v>300</v>
      </c>
      <c r="M205" s="5" t="str">
        <f t="shared" si="18"/>
        <v>SPECIAL_300</v>
      </c>
      <c r="N205" s="5" t="str">
        <f t="shared" si="19"/>
        <v/>
      </c>
      <c r="O205" s="12"/>
      <c r="P205" s="12"/>
      <c r="Q205" s="12"/>
      <c r="R205" s="12" t="s">
        <v>63</v>
      </c>
      <c r="S205" s="12"/>
    </row>
    <row r="206" spans="1:19" x14ac:dyDescent="0.25">
      <c r="A206" s="5" t="s">
        <v>461</v>
      </c>
      <c r="B206" s="5" t="s">
        <v>462</v>
      </c>
      <c r="C206" s="6">
        <v>19.5</v>
      </c>
      <c r="D206" s="6">
        <v>7.5</v>
      </c>
      <c r="E206" s="6">
        <v>2.7</v>
      </c>
      <c r="F206" s="6">
        <v>6.2E-2</v>
      </c>
      <c r="G206" s="5" t="s">
        <v>456</v>
      </c>
      <c r="H206" s="7" t="s">
        <v>61</v>
      </c>
      <c r="I206" s="5" t="s">
        <v>62</v>
      </c>
      <c r="J206" s="5" t="str">
        <f>IF(COUNTIF(packages_master!$A:$A,A206)&gt;0,"Y","N")</f>
        <v>N</v>
      </c>
      <c r="K206" s="5" t="str">
        <f t="shared" si="16"/>
        <v>BX010</v>
      </c>
      <c r="L206" s="5">
        <f t="shared" si="17"/>
        <v>300</v>
      </c>
      <c r="M206" s="5" t="str">
        <f t="shared" si="18"/>
        <v>SPECIAL_300</v>
      </c>
      <c r="N206" s="5" t="str">
        <f t="shared" si="19"/>
        <v/>
      </c>
      <c r="O206" s="12"/>
      <c r="P206" s="12"/>
      <c r="Q206" s="12"/>
      <c r="R206" s="12" t="s">
        <v>63</v>
      </c>
      <c r="S206" s="12"/>
    </row>
    <row r="207" spans="1:19" x14ac:dyDescent="0.25">
      <c r="A207" s="5" t="s">
        <v>463</v>
      </c>
      <c r="B207" s="5" t="s">
        <v>464</v>
      </c>
      <c r="C207" s="6">
        <v>19.5</v>
      </c>
      <c r="D207" s="6">
        <v>11.6</v>
      </c>
      <c r="E207" s="6">
        <v>7.4</v>
      </c>
      <c r="F207" s="6">
        <v>0.245</v>
      </c>
      <c r="G207" s="5" t="s">
        <v>456</v>
      </c>
      <c r="H207" s="7" t="s">
        <v>61</v>
      </c>
      <c r="I207" s="5" t="s">
        <v>62</v>
      </c>
      <c r="J207" s="5" t="str">
        <f>IF(COUNTIF(packages_master!$A:$A,A207)&gt;0,"Y","N")</f>
        <v>N</v>
      </c>
      <c r="K207" s="5" t="str">
        <f t="shared" si="16"/>
        <v>BX010</v>
      </c>
      <c r="L207" s="5">
        <f t="shared" si="17"/>
        <v>300</v>
      </c>
      <c r="M207" s="5" t="str">
        <f t="shared" si="18"/>
        <v>SPECIAL_300</v>
      </c>
      <c r="N207" s="5" t="str">
        <f t="shared" si="19"/>
        <v/>
      </c>
      <c r="O207" s="12"/>
      <c r="P207" s="12"/>
      <c r="Q207" s="12"/>
      <c r="R207" s="12" t="s">
        <v>63</v>
      </c>
      <c r="S207" s="12"/>
    </row>
    <row r="208" spans="1:19" x14ac:dyDescent="0.25">
      <c r="A208" s="5" t="s">
        <v>465</v>
      </c>
      <c r="B208" s="5" t="s">
        <v>466</v>
      </c>
      <c r="C208" s="6">
        <v>19.5</v>
      </c>
      <c r="D208" s="6">
        <v>11.6</v>
      </c>
      <c r="E208" s="6">
        <v>7.4</v>
      </c>
      <c r="F208" s="6">
        <v>0.248</v>
      </c>
      <c r="G208" s="5" t="s">
        <v>456</v>
      </c>
      <c r="H208" s="7" t="s">
        <v>61</v>
      </c>
      <c r="I208" s="5" t="s">
        <v>62</v>
      </c>
      <c r="J208" s="5" t="str">
        <f>IF(COUNTIF(packages_master!$A:$A,A208)&gt;0,"Y","N")</f>
        <v>N</v>
      </c>
      <c r="K208" s="5" t="str">
        <f t="shared" si="16"/>
        <v>BX010</v>
      </c>
      <c r="L208" s="5">
        <f t="shared" si="17"/>
        <v>300</v>
      </c>
      <c r="M208" s="5" t="str">
        <f t="shared" si="18"/>
        <v>SPECIAL_300</v>
      </c>
      <c r="N208" s="5" t="str">
        <f t="shared" si="19"/>
        <v/>
      </c>
      <c r="O208" s="12"/>
      <c r="P208" s="12"/>
      <c r="Q208" s="12"/>
      <c r="R208" s="12" t="s">
        <v>63</v>
      </c>
      <c r="S208" s="12"/>
    </row>
    <row r="209" spans="1:19" x14ac:dyDescent="0.25">
      <c r="A209" s="5" t="s">
        <v>467</v>
      </c>
      <c r="B209" s="5" t="s">
        <v>468</v>
      </c>
      <c r="C209" s="6">
        <v>21.7</v>
      </c>
      <c r="D209" s="8">
        <v>7</v>
      </c>
      <c r="E209" s="6">
        <v>3.1</v>
      </c>
      <c r="F209" s="6">
        <v>6.2E-2</v>
      </c>
      <c r="G209" s="5" t="s">
        <v>456</v>
      </c>
      <c r="H209" s="7" t="s">
        <v>61</v>
      </c>
      <c r="I209" s="5" t="s">
        <v>62</v>
      </c>
      <c r="J209" s="5" t="str">
        <f>IF(COUNTIF(packages_master!$A:$A,A209)&gt;0,"Y","N")</f>
        <v>N</v>
      </c>
      <c r="K209" s="5" t="str">
        <f t="shared" si="16"/>
        <v>BX010</v>
      </c>
      <c r="L209" s="5">
        <f t="shared" si="17"/>
        <v>300</v>
      </c>
      <c r="M209" s="5" t="str">
        <f t="shared" si="18"/>
        <v>SPECIAL_300</v>
      </c>
      <c r="N209" s="5" t="str">
        <f t="shared" si="19"/>
        <v/>
      </c>
      <c r="O209" s="12"/>
      <c r="P209" s="12"/>
      <c r="Q209" s="12"/>
      <c r="R209" s="12" t="s">
        <v>63</v>
      </c>
      <c r="S209" s="12"/>
    </row>
    <row r="210" spans="1:19" x14ac:dyDescent="0.25">
      <c r="A210" s="5" t="s">
        <v>469</v>
      </c>
      <c r="B210" s="5" t="s">
        <v>470</v>
      </c>
      <c r="C210" s="6">
        <v>21.7</v>
      </c>
      <c r="D210" s="8">
        <v>7</v>
      </c>
      <c r="E210" s="6">
        <v>3.1</v>
      </c>
      <c r="F210" s="6">
        <v>6.5000000000000002E-2</v>
      </c>
      <c r="G210" s="5" t="s">
        <v>456</v>
      </c>
      <c r="H210" s="7" t="s">
        <v>61</v>
      </c>
      <c r="I210" s="5" t="s">
        <v>62</v>
      </c>
      <c r="J210" s="5" t="str">
        <f>IF(COUNTIF(packages_master!$A:$A,A210)&gt;0,"Y","N")</f>
        <v>N</v>
      </c>
      <c r="K210" s="5" t="str">
        <f t="shared" si="16"/>
        <v>BX010</v>
      </c>
      <c r="L210" s="5">
        <f t="shared" si="17"/>
        <v>300</v>
      </c>
      <c r="M210" s="5" t="str">
        <f t="shared" si="18"/>
        <v>SPECIAL_300</v>
      </c>
      <c r="N210" s="5" t="str">
        <f t="shared" si="19"/>
        <v/>
      </c>
      <c r="O210" s="12"/>
      <c r="P210" s="12"/>
      <c r="Q210" s="12"/>
      <c r="R210" s="12" t="s">
        <v>63</v>
      </c>
      <c r="S210" s="12"/>
    </row>
    <row r="211" spans="1:19" x14ac:dyDescent="0.25">
      <c r="A211" s="5" t="s">
        <v>471</v>
      </c>
      <c r="B211" s="5" t="s">
        <v>472</v>
      </c>
      <c r="C211" s="6">
        <v>18.5</v>
      </c>
      <c r="D211" s="8">
        <v>7</v>
      </c>
      <c r="E211" s="6">
        <v>2.5</v>
      </c>
      <c r="F211" s="6">
        <v>4.7E-2</v>
      </c>
      <c r="G211" s="5"/>
      <c r="H211" s="7" t="s">
        <v>61</v>
      </c>
      <c r="I211" s="5" t="s">
        <v>62</v>
      </c>
      <c r="J211" s="5" t="str">
        <f>IF(COUNTIF(packages_master!$A:$A,A211)&gt;0,"Y","N")</f>
        <v>N</v>
      </c>
      <c r="K211" s="5" t="str">
        <f t="shared" si="16"/>
        <v/>
      </c>
      <c r="L211" s="5" t="str">
        <f t="shared" si="17"/>
        <v/>
      </c>
      <c r="M211" s="5" t="str">
        <f t="shared" si="18"/>
        <v>NORMAL</v>
      </c>
      <c r="N211" s="5" t="str">
        <f t="shared" si="19"/>
        <v/>
      </c>
      <c r="O211" s="12"/>
      <c r="P211" s="12"/>
      <c r="Q211" s="12"/>
      <c r="R211" s="12" t="s">
        <v>63</v>
      </c>
      <c r="S211" s="12"/>
    </row>
    <row r="212" spans="1:19" x14ac:dyDescent="0.25">
      <c r="A212" s="5" t="s">
        <v>473</v>
      </c>
      <c r="B212" s="5" t="s">
        <v>474</v>
      </c>
      <c r="C212" s="6">
        <v>18.5</v>
      </c>
      <c r="D212" s="8">
        <v>7</v>
      </c>
      <c r="E212" s="8">
        <v>4</v>
      </c>
      <c r="F212" s="6">
        <v>6.2E-2</v>
      </c>
      <c r="G212" s="5"/>
      <c r="H212" s="7" t="s">
        <v>61</v>
      </c>
      <c r="I212" s="5" t="s">
        <v>62</v>
      </c>
      <c r="J212" s="5" t="str">
        <f>IF(COUNTIF(packages_master!$A:$A,A212)&gt;0,"Y","N")</f>
        <v>N</v>
      </c>
      <c r="K212" s="5" t="str">
        <f t="shared" si="16"/>
        <v/>
      </c>
      <c r="L212" s="5" t="str">
        <f t="shared" si="17"/>
        <v/>
      </c>
      <c r="M212" s="5" t="str">
        <f t="shared" si="18"/>
        <v>NORMAL</v>
      </c>
      <c r="N212" s="5" t="str">
        <f t="shared" si="19"/>
        <v/>
      </c>
      <c r="O212" s="12"/>
      <c r="P212" s="12"/>
      <c r="Q212" s="12"/>
      <c r="R212" s="12" t="s">
        <v>63</v>
      </c>
      <c r="S212" s="12"/>
    </row>
    <row r="213" spans="1:19" x14ac:dyDescent="0.25">
      <c r="A213" s="5" t="s">
        <v>475</v>
      </c>
      <c r="B213" s="5" t="s">
        <v>476</v>
      </c>
      <c r="C213" s="6">
        <v>18.5</v>
      </c>
      <c r="D213" s="8">
        <v>7</v>
      </c>
      <c r="E213" s="8">
        <v>4</v>
      </c>
      <c r="F213" s="6">
        <v>6.2E-2</v>
      </c>
      <c r="G213" s="5"/>
      <c r="H213" s="7" t="s">
        <v>61</v>
      </c>
      <c r="I213" s="5" t="s">
        <v>62</v>
      </c>
      <c r="J213" s="5" t="str">
        <f>IF(COUNTIF(packages_master!$A:$A,A213)&gt;0,"Y","N")</f>
        <v>N</v>
      </c>
      <c r="K213" s="5" t="str">
        <f t="shared" si="16"/>
        <v/>
      </c>
      <c r="L213" s="5" t="str">
        <f t="shared" si="17"/>
        <v/>
      </c>
      <c r="M213" s="5" t="str">
        <f t="shared" si="18"/>
        <v>NORMAL</v>
      </c>
      <c r="N213" s="5" t="str">
        <f t="shared" si="19"/>
        <v/>
      </c>
      <c r="O213" s="12"/>
      <c r="P213" s="12"/>
      <c r="Q213" s="12"/>
      <c r="R213" s="12" t="s">
        <v>63</v>
      </c>
      <c r="S213" s="12"/>
    </row>
    <row r="214" spans="1:19" x14ac:dyDescent="0.25">
      <c r="A214" s="5" t="s">
        <v>477</v>
      </c>
      <c r="B214" s="5" t="s">
        <v>478</v>
      </c>
      <c r="C214" s="6">
        <v>18.899999999999999</v>
      </c>
      <c r="D214" s="6">
        <v>7.7</v>
      </c>
      <c r="E214" s="6">
        <v>5.7</v>
      </c>
      <c r="F214" s="6">
        <v>0.112</v>
      </c>
      <c r="G214" s="5"/>
      <c r="H214" s="7" t="s">
        <v>61</v>
      </c>
      <c r="I214" s="5" t="s">
        <v>62</v>
      </c>
      <c r="J214" s="5" t="str">
        <f>IF(COUNTIF(packages_master!$A:$A,A214)&gt;0,"Y","N")</f>
        <v>N</v>
      </c>
      <c r="K214" s="5" t="str">
        <f t="shared" si="16"/>
        <v/>
      </c>
      <c r="L214" s="5" t="str">
        <f t="shared" si="17"/>
        <v/>
      </c>
      <c r="M214" s="5" t="str">
        <f t="shared" si="18"/>
        <v>NORMAL</v>
      </c>
      <c r="N214" s="5" t="str">
        <f t="shared" si="19"/>
        <v/>
      </c>
      <c r="O214" s="12"/>
      <c r="P214" s="12"/>
      <c r="Q214" s="12"/>
      <c r="R214" s="12" t="s">
        <v>63</v>
      </c>
      <c r="S214" s="12"/>
    </row>
    <row r="215" spans="1:19" x14ac:dyDescent="0.25">
      <c r="A215" s="5" t="s">
        <v>477</v>
      </c>
      <c r="B215" s="5" t="s">
        <v>479</v>
      </c>
      <c r="C215" s="6">
        <v>18.899999999999999</v>
      </c>
      <c r="D215" s="6">
        <v>7.7</v>
      </c>
      <c r="E215" s="6">
        <v>5.7</v>
      </c>
      <c r="F215" s="6">
        <v>0.107</v>
      </c>
      <c r="G215" s="5"/>
      <c r="H215" s="7" t="s">
        <v>61</v>
      </c>
      <c r="I215" s="5" t="s">
        <v>62</v>
      </c>
      <c r="J215" s="5" t="str">
        <f>IF(COUNTIF(packages_master!$A:$A,A215)&gt;0,"Y","N")</f>
        <v>N</v>
      </c>
      <c r="K215" s="5" t="str">
        <f t="shared" si="16"/>
        <v/>
      </c>
      <c r="L215" s="5" t="str">
        <f t="shared" si="17"/>
        <v/>
      </c>
      <c r="M215" s="5" t="str">
        <f t="shared" si="18"/>
        <v>NORMAL</v>
      </c>
      <c r="N215" s="5" t="str">
        <f t="shared" si="19"/>
        <v/>
      </c>
      <c r="O215" s="12"/>
      <c r="P215" s="12"/>
      <c r="Q215" s="12"/>
      <c r="R215" s="12" t="s">
        <v>63</v>
      </c>
      <c r="S215" s="12"/>
    </row>
    <row r="216" spans="1:19" x14ac:dyDescent="0.25">
      <c r="A216" s="5" t="s">
        <v>480</v>
      </c>
      <c r="B216" s="5" t="s">
        <v>481</v>
      </c>
      <c r="C216" s="6">
        <v>20.3</v>
      </c>
      <c r="D216" s="6">
        <v>7.7</v>
      </c>
      <c r="E216" s="6">
        <v>4.9000000000000004</v>
      </c>
      <c r="F216" s="6">
        <v>9.0999999999999998E-2</v>
      </c>
      <c r="G216" s="5"/>
      <c r="H216" s="7" t="s">
        <v>61</v>
      </c>
      <c r="I216" s="5" t="s">
        <v>62</v>
      </c>
      <c r="J216" s="5" t="str">
        <f>IF(COUNTIF(packages_master!$A:$A,A216)&gt;0,"Y","N")</f>
        <v>N</v>
      </c>
      <c r="K216" s="5" t="str">
        <f t="shared" si="16"/>
        <v/>
      </c>
      <c r="L216" s="5" t="str">
        <f t="shared" si="17"/>
        <v/>
      </c>
      <c r="M216" s="5" t="str">
        <f t="shared" si="18"/>
        <v>NORMAL</v>
      </c>
      <c r="N216" s="5" t="str">
        <f t="shared" si="19"/>
        <v/>
      </c>
      <c r="O216" s="12"/>
      <c r="P216" s="12"/>
      <c r="Q216" s="12"/>
      <c r="R216" s="12" t="s">
        <v>63</v>
      </c>
      <c r="S216" s="12"/>
    </row>
    <row r="217" spans="1:19" x14ac:dyDescent="0.25">
      <c r="A217" s="5" t="s">
        <v>187</v>
      </c>
      <c r="B217" s="5" t="s">
        <v>482</v>
      </c>
      <c r="C217" s="8">
        <v>10</v>
      </c>
      <c r="D217" s="6">
        <v>9.6</v>
      </c>
      <c r="E217" s="6">
        <v>9.6</v>
      </c>
      <c r="F217" s="6">
        <v>0.60899999999999999</v>
      </c>
      <c r="G217" s="5"/>
      <c r="H217" s="7" t="s">
        <v>61</v>
      </c>
      <c r="I217" s="5" t="s">
        <v>62</v>
      </c>
      <c r="J217" s="5" t="str">
        <f>IF(COUNTIF(packages_master!$A:$A,A217)&gt;0,"Y","N")</f>
        <v>N</v>
      </c>
      <c r="K217" s="5" t="str">
        <f t="shared" si="16"/>
        <v/>
      </c>
      <c r="L217" s="5" t="str">
        <f t="shared" si="17"/>
        <v/>
      </c>
      <c r="M217" s="5" t="str">
        <f t="shared" si="18"/>
        <v>NORMAL</v>
      </c>
      <c r="N217" s="5" t="str">
        <f t="shared" si="19"/>
        <v/>
      </c>
      <c r="O217" s="12"/>
      <c r="P217" s="12"/>
      <c r="Q217" s="12"/>
      <c r="R217" s="12" t="s">
        <v>63</v>
      </c>
      <c r="S217" s="12"/>
    </row>
    <row r="218" spans="1:19" x14ac:dyDescent="0.25">
      <c r="A218" s="5" t="s">
        <v>483</v>
      </c>
      <c r="B218" s="5" t="s">
        <v>484</v>
      </c>
      <c r="C218" s="6">
        <v>17.5</v>
      </c>
      <c r="D218" s="6">
        <v>7.2</v>
      </c>
      <c r="E218" s="8">
        <v>4</v>
      </c>
      <c r="F218" s="6">
        <v>6.0999999999999999E-2</v>
      </c>
      <c r="G218" s="5"/>
      <c r="H218" s="7" t="s">
        <v>61</v>
      </c>
      <c r="I218" s="5" t="s">
        <v>62</v>
      </c>
      <c r="J218" s="5" t="str">
        <f>IF(COUNTIF(packages_master!$A:$A,A218)&gt;0,"Y","N")</f>
        <v>N</v>
      </c>
      <c r="K218" s="5" t="str">
        <f t="shared" si="16"/>
        <v/>
      </c>
      <c r="L218" s="5" t="str">
        <f t="shared" si="17"/>
        <v/>
      </c>
      <c r="M218" s="5" t="str">
        <f t="shared" si="18"/>
        <v>NORMAL</v>
      </c>
      <c r="N218" s="5" t="str">
        <f t="shared" si="19"/>
        <v/>
      </c>
      <c r="O218" s="12"/>
      <c r="P218" s="12"/>
      <c r="Q218" s="12"/>
      <c r="R218" s="12" t="s">
        <v>63</v>
      </c>
      <c r="S218" s="12"/>
    </row>
    <row r="219" spans="1:19" x14ac:dyDescent="0.25">
      <c r="A219" s="5" t="s">
        <v>485</v>
      </c>
      <c r="B219" s="5" t="s">
        <v>486</v>
      </c>
      <c r="C219" s="6">
        <v>17.5</v>
      </c>
      <c r="D219" s="6">
        <v>7.2</v>
      </c>
      <c r="E219" s="8">
        <v>4</v>
      </c>
      <c r="F219" s="6">
        <v>6.0999999999999999E-2</v>
      </c>
      <c r="G219" s="5"/>
      <c r="H219" s="7" t="s">
        <v>61</v>
      </c>
      <c r="I219" s="5" t="s">
        <v>62</v>
      </c>
      <c r="J219" s="5" t="str">
        <f>IF(COUNTIF(packages_master!$A:$A,A219)&gt;0,"Y","N")</f>
        <v>N</v>
      </c>
      <c r="K219" s="5" t="str">
        <f t="shared" si="16"/>
        <v/>
      </c>
      <c r="L219" s="5" t="str">
        <f t="shared" si="17"/>
        <v/>
      </c>
      <c r="M219" s="5" t="str">
        <f t="shared" si="18"/>
        <v>NORMAL</v>
      </c>
      <c r="N219" s="5" t="str">
        <f t="shared" si="19"/>
        <v/>
      </c>
      <c r="O219" s="12"/>
      <c r="P219" s="12"/>
      <c r="Q219" s="12"/>
      <c r="R219" s="12" t="s">
        <v>63</v>
      </c>
      <c r="S219" s="12"/>
    </row>
    <row r="220" spans="1:19" x14ac:dyDescent="0.25">
      <c r="A220" s="5" t="s">
        <v>487</v>
      </c>
      <c r="B220" s="5" t="s">
        <v>488</v>
      </c>
      <c r="C220" s="6">
        <v>17.5</v>
      </c>
      <c r="D220" s="6">
        <v>7.2</v>
      </c>
      <c r="E220" s="8">
        <v>4</v>
      </c>
      <c r="F220" s="6">
        <v>6.0999999999999999E-2</v>
      </c>
      <c r="G220" s="5"/>
      <c r="H220" s="7" t="s">
        <v>61</v>
      </c>
      <c r="I220" s="5" t="s">
        <v>62</v>
      </c>
      <c r="J220" s="5" t="str">
        <f>IF(COUNTIF(packages_master!$A:$A,A220)&gt;0,"Y","N")</f>
        <v>N</v>
      </c>
      <c r="K220" s="5" t="str">
        <f t="shared" si="16"/>
        <v/>
      </c>
      <c r="L220" s="5" t="str">
        <f t="shared" si="17"/>
        <v/>
      </c>
      <c r="M220" s="5" t="str">
        <f t="shared" si="18"/>
        <v>NORMAL</v>
      </c>
      <c r="N220" s="5" t="str">
        <f t="shared" si="19"/>
        <v/>
      </c>
      <c r="O220" s="12"/>
      <c r="P220" s="12"/>
      <c r="Q220" s="12"/>
      <c r="R220" s="12" t="s">
        <v>63</v>
      </c>
      <c r="S220" s="12"/>
    </row>
    <row r="221" spans="1:19" x14ac:dyDescent="0.25">
      <c r="A221" s="5" t="s">
        <v>489</v>
      </c>
      <c r="B221" s="5" t="s">
        <v>490</v>
      </c>
      <c r="C221" s="6">
        <v>19.3</v>
      </c>
      <c r="D221" s="6">
        <v>7.2</v>
      </c>
      <c r="E221" s="6">
        <v>2.9</v>
      </c>
      <c r="F221" s="6">
        <v>4.4999999999999998E-2</v>
      </c>
      <c r="G221" s="5"/>
      <c r="H221" s="7" t="s">
        <v>61</v>
      </c>
      <c r="I221" s="5" t="s">
        <v>62</v>
      </c>
      <c r="J221" s="5" t="str">
        <f>IF(COUNTIF(packages_master!$A:$A,A221)&gt;0,"Y","N")</f>
        <v>N</v>
      </c>
      <c r="K221" s="5" t="str">
        <f t="shared" si="16"/>
        <v/>
      </c>
      <c r="L221" s="5" t="str">
        <f t="shared" si="17"/>
        <v/>
      </c>
      <c r="M221" s="5" t="str">
        <f t="shared" si="18"/>
        <v>NORMAL</v>
      </c>
      <c r="N221" s="5" t="str">
        <f t="shared" si="19"/>
        <v/>
      </c>
      <c r="O221" s="12"/>
      <c r="P221" s="12"/>
      <c r="Q221" s="12"/>
      <c r="R221" s="12" t="s">
        <v>63</v>
      </c>
      <c r="S221" s="12"/>
    </row>
    <row r="222" spans="1:19" x14ac:dyDescent="0.25">
      <c r="A222" s="5" t="s">
        <v>491</v>
      </c>
      <c r="B222" s="5" t="s">
        <v>492</v>
      </c>
      <c r="C222" s="8">
        <v>6</v>
      </c>
      <c r="D222" s="6">
        <v>3.5</v>
      </c>
      <c r="E222" s="6">
        <v>3.5</v>
      </c>
      <c r="F222" s="6">
        <v>0.02</v>
      </c>
      <c r="G222" s="5"/>
      <c r="H222" s="7" t="s">
        <v>61</v>
      </c>
      <c r="I222" s="5" t="s">
        <v>62</v>
      </c>
      <c r="J222" s="5" t="str">
        <f>IF(COUNTIF(packages_master!$A:$A,A222)&gt;0,"Y","N")</f>
        <v>N</v>
      </c>
      <c r="K222" s="5" t="str">
        <f t="shared" si="16"/>
        <v/>
      </c>
      <c r="L222" s="5" t="str">
        <f t="shared" si="17"/>
        <v/>
      </c>
      <c r="M222" s="5" t="str">
        <f t="shared" si="18"/>
        <v>NORMAL</v>
      </c>
      <c r="N222" s="5" t="str">
        <f t="shared" si="19"/>
        <v/>
      </c>
      <c r="O222" s="12"/>
      <c r="P222" s="12"/>
      <c r="Q222" s="12"/>
      <c r="R222" s="12" t="s">
        <v>63</v>
      </c>
      <c r="S222" s="12"/>
    </row>
    <row r="223" spans="1:19" x14ac:dyDescent="0.25">
      <c r="A223" s="5" t="s">
        <v>493</v>
      </c>
      <c r="B223" s="5" t="s">
        <v>494</v>
      </c>
      <c r="C223" s="6">
        <v>19.600000000000001</v>
      </c>
      <c r="D223" s="6">
        <v>7.2</v>
      </c>
      <c r="E223" s="6">
        <v>3.2</v>
      </c>
      <c r="F223" s="6">
        <v>5.0999999999999997E-2</v>
      </c>
      <c r="G223" s="5"/>
      <c r="H223" s="7" t="s">
        <v>61</v>
      </c>
      <c r="I223" s="5" t="s">
        <v>62</v>
      </c>
      <c r="J223" s="5" t="str">
        <f>IF(COUNTIF(packages_master!$A:$A,A223)&gt;0,"Y","N")</f>
        <v>N</v>
      </c>
      <c r="K223" s="5" t="str">
        <f t="shared" si="16"/>
        <v/>
      </c>
      <c r="L223" s="5" t="str">
        <f t="shared" si="17"/>
        <v/>
      </c>
      <c r="M223" s="5" t="str">
        <f t="shared" si="18"/>
        <v>NORMAL</v>
      </c>
      <c r="N223" s="5" t="str">
        <f t="shared" si="19"/>
        <v/>
      </c>
      <c r="O223" s="12"/>
      <c r="P223" s="12"/>
      <c r="Q223" s="12"/>
      <c r="R223" s="12" t="s">
        <v>63</v>
      </c>
      <c r="S223" s="12"/>
    </row>
    <row r="224" spans="1:19" x14ac:dyDescent="0.25">
      <c r="A224" s="5" t="s">
        <v>495</v>
      </c>
      <c r="B224" s="5" t="s">
        <v>496</v>
      </c>
      <c r="C224" s="6">
        <v>19.600000000000001</v>
      </c>
      <c r="D224" s="6">
        <v>7.2</v>
      </c>
      <c r="E224" s="6">
        <v>3.2</v>
      </c>
      <c r="F224" s="6">
        <v>4.8000000000000001E-2</v>
      </c>
      <c r="G224" s="5"/>
      <c r="H224" s="7" t="s">
        <v>61</v>
      </c>
      <c r="I224" s="5" t="s">
        <v>62</v>
      </c>
      <c r="J224" s="5" t="str">
        <f>IF(COUNTIF(packages_master!$A:$A,A224)&gt;0,"Y","N")</f>
        <v>N</v>
      </c>
      <c r="K224" s="5" t="str">
        <f t="shared" si="16"/>
        <v/>
      </c>
      <c r="L224" s="5" t="str">
        <f t="shared" si="17"/>
        <v/>
      </c>
      <c r="M224" s="5" t="str">
        <f t="shared" si="18"/>
        <v>NORMAL</v>
      </c>
      <c r="N224" s="5" t="str">
        <f t="shared" si="19"/>
        <v/>
      </c>
      <c r="O224" s="12"/>
      <c r="P224" s="12"/>
      <c r="Q224" s="12"/>
      <c r="R224" s="12" t="s">
        <v>63</v>
      </c>
      <c r="S224" s="12"/>
    </row>
    <row r="225" spans="1:19" x14ac:dyDescent="0.25">
      <c r="A225" s="5" t="s">
        <v>497</v>
      </c>
      <c r="B225" s="5" t="s">
        <v>498</v>
      </c>
      <c r="C225" s="6">
        <v>19.600000000000001</v>
      </c>
      <c r="D225" s="6">
        <v>7.2</v>
      </c>
      <c r="E225" s="6">
        <v>3.2</v>
      </c>
      <c r="F225" s="6">
        <v>5.0999999999999997E-2</v>
      </c>
      <c r="G225" s="5"/>
      <c r="H225" s="7" t="s">
        <v>61</v>
      </c>
      <c r="I225" s="5" t="s">
        <v>62</v>
      </c>
      <c r="J225" s="5" t="str">
        <f>IF(COUNTIF(packages_master!$A:$A,A225)&gt;0,"Y","N")</f>
        <v>N</v>
      </c>
      <c r="K225" s="5" t="str">
        <f t="shared" si="16"/>
        <v/>
      </c>
      <c r="L225" s="5" t="str">
        <f t="shared" si="17"/>
        <v/>
      </c>
      <c r="M225" s="5" t="str">
        <f t="shared" si="18"/>
        <v>NORMAL</v>
      </c>
      <c r="N225" s="5" t="str">
        <f t="shared" si="19"/>
        <v/>
      </c>
      <c r="O225" s="12"/>
      <c r="P225" s="12"/>
      <c r="Q225" s="12"/>
      <c r="R225" s="12" t="s">
        <v>63</v>
      </c>
      <c r="S225" s="12"/>
    </row>
    <row r="226" spans="1:19" x14ac:dyDescent="0.25">
      <c r="A226" s="5" t="s">
        <v>499</v>
      </c>
      <c r="B226" s="5" t="s">
        <v>500</v>
      </c>
      <c r="C226" s="6">
        <v>14.8</v>
      </c>
      <c r="D226" s="6">
        <v>8.5</v>
      </c>
      <c r="E226" s="6">
        <v>6.5</v>
      </c>
      <c r="F226" s="6">
        <v>0.34</v>
      </c>
      <c r="G226" s="5"/>
      <c r="H226" s="7" t="s">
        <v>61</v>
      </c>
      <c r="I226" s="5" t="s">
        <v>62</v>
      </c>
      <c r="J226" s="5" t="str">
        <f>IF(COUNTIF(packages_master!$A:$A,A226)&gt;0,"Y","N")</f>
        <v>N</v>
      </c>
      <c r="K226" s="5" t="str">
        <f t="shared" si="16"/>
        <v/>
      </c>
      <c r="L226" s="5" t="str">
        <f t="shared" si="17"/>
        <v/>
      </c>
      <c r="M226" s="5" t="str">
        <f t="shared" si="18"/>
        <v>NORMAL</v>
      </c>
      <c r="N226" s="5" t="str">
        <f t="shared" si="19"/>
        <v/>
      </c>
      <c r="O226" s="12"/>
      <c r="P226" s="12"/>
      <c r="Q226" s="12"/>
      <c r="R226" s="12" t="s">
        <v>63</v>
      </c>
      <c r="S226" s="12"/>
    </row>
    <row r="227" spans="1:19" x14ac:dyDescent="0.25">
      <c r="A227" s="5" t="s">
        <v>501</v>
      </c>
      <c r="B227" s="5" t="s">
        <v>502</v>
      </c>
      <c r="C227" s="6">
        <v>6.3</v>
      </c>
      <c r="D227" s="6">
        <v>3.5</v>
      </c>
      <c r="E227" s="8">
        <v>3</v>
      </c>
      <c r="F227" s="6">
        <v>0.02</v>
      </c>
      <c r="G227" s="5"/>
      <c r="H227" s="7" t="s">
        <v>61</v>
      </c>
      <c r="I227" s="5" t="s">
        <v>62</v>
      </c>
      <c r="J227" s="5" t="str">
        <f>IF(COUNTIF(packages_master!$A:$A,A227)&gt;0,"Y","N")</f>
        <v>N</v>
      </c>
      <c r="K227" s="5" t="str">
        <f t="shared" si="16"/>
        <v/>
      </c>
      <c r="L227" s="5" t="str">
        <f t="shared" si="17"/>
        <v/>
      </c>
      <c r="M227" s="5" t="str">
        <f t="shared" si="18"/>
        <v>NORMAL</v>
      </c>
      <c r="N227" s="5" t="str">
        <f t="shared" si="19"/>
        <v/>
      </c>
      <c r="O227" s="12"/>
      <c r="P227" s="12"/>
      <c r="Q227" s="12"/>
      <c r="R227" s="12" t="s">
        <v>63</v>
      </c>
      <c r="S227" s="12"/>
    </row>
    <row r="228" spans="1:19" x14ac:dyDescent="0.25">
      <c r="A228" s="5" t="s">
        <v>503</v>
      </c>
      <c r="B228" s="5" t="s">
        <v>504</v>
      </c>
      <c r="C228" s="6">
        <v>22.2</v>
      </c>
      <c r="D228" s="6">
        <v>14.5</v>
      </c>
      <c r="E228" s="6">
        <v>2.2000000000000002</v>
      </c>
      <c r="F228" s="6">
        <v>0.14499999999999999</v>
      </c>
      <c r="G228" s="5"/>
      <c r="H228" s="7" t="s">
        <v>61</v>
      </c>
      <c r="I228" s="5" t="s">
        <v>62</v>
      </c>
      <c r="J228" s="5" t="str">
        <f>IF(COUNTIF(packages_master!$A:$A,A228)&gt;0,"Y","N")</f>
        <v>N</v>
      </c>
      <c r="K228" s="5" t="str">
        <f t="shared" si="16"/>
        <v/>
      </c>
      <c r="L228" s="5" t="str">
        <f t="shared" si="17"/>
        <v/>
      </c>
      <c r="M228" s="5" t="str">
        <f t="shared" si="18"/>
        <v>NORMAL</v>
      </c>
      <c r="N228" s="5" t="str">
        <f t="shared" si="19"/>
        <v/>
      </c>
      <c r="O228" s="12"/>
      <c r="P228" s="12"/>
      <c r="Q228" s="12"/>
      <c r="R228" s="12" t="s">
        <v>63</v>
      </c>
      <c r="S228" s="12"/>
    </row>
    <row r="229" spans="1:19" x14ac:dyDescent="0.25">
      <c r="A229" s="5" t="s">
        <v>505</v>
      </c>
      <c r="B229" s="5" t="s">
        <v>506</v>
      </c>
      <c r="C229" s="6">
        <v>19.600000000000001</v>
      </c>
      <c r="D229" s="6">
        <v>7.2</v>
      </c>
      <c r="E229" s="6">
        <v>3.2</v>
      </c>
      <c r="F229" s="6">
        <v>4.4999999999999998E-2</v>
      </c>
      <c r="G229" s="5"/>
      <c r="H229" s="7" t="s">
        <v>61</v>
      </c>
      <c r="I229" s="5" t="s">
        <v>62</v>
      </c>
      <c r="J229" s="5" t="str">
        <f>IF(COUNTIF(packages_master!$A:$A,A229)&gt;0,"Y","N")</f>
        <v>N</v>
      </c>
      <c r="K229" s="5" t="str">
        <f t="shared" si="16"/>
        <v/>
      </c>
      <c r="L229" s="5" t="str">
        <f t="shared" si="17"/>
        <v/>
      </c>
      <c r="M229" s="5" t="str">
        <f t="shared" si="18"/>
        <v>NORMAL</v>
      </c>
      <c r="N229" s="5" t="str">
        <f t="shared" si="19"/>
        <v/>
      </c>
      <c r="O229" s="12"/>
      <c r="P229" s="12"/>
      <c r="Q229" s="12"/>
      <c r="R229" s="12" t="s">
        <v>63</v>
      </c>
      <c r="S229" s="12"/>
    </row>
    <row r="230" spans="1:19" x14ac:dyDescent="0.25">
      <c r="A230" s="5" t="s">
        <v>507</v>
      </c>
      <c r="B230" s="5" t="s">
        <v>508</v>
      </c>
      <c r="C230" s="6">
        <v>19.600000000000001</v>
      </c>
      <c r="D230" s="6">
        <v>7.2</v>
      </c>
      <c r="E230" s="6">
        <v>3.2</v>
      </c>
      <c r="F230" s="6">
        <v>4.4999999999999998E-2</v>
      </c>
      <c r="G230" s="5"/>
      <c r="H230" s="7" t="s">
        <v>61</v>
      </c>
      <c r="I230" s="5" t="s">
        <v>62</v>
      </c>
      <c r="J230" s="5" t="str">
        <f>IF(COUNTIF(packages_master!$A:$A,A230)&gt;0,"Y","N")</f>
        <v>N</v>
      </c>
      <c r="K230" s="5" t="str">
        <f t="shared" si="16"/>
        <v/>
      </c>
      <c r="L230" s="5" t="str">
        <f t="shared" si="17"/>
        <v/>
      </c>
      <c r="M230" s="5" t="str">
        <f t="shared" si="18"/>
        <v>NORMAL</v>
      </c>
      <c r="N230" s="5" t="str">
        <f t="shared" si="19"/>
        <v/>
      </c>
      <c r="O230" s="12"/>
      <c r="P230" s="12"/>
      <c r="Q230" s="12"/>
      <c r="R230" s="12" t="s">
        <v>63</v>
      </c>
      <c r="S230" s="12"/>
    </row>
    <row r="231" spans="1:19" x14ac:dyDescent="0.25">
      <c r="A231" s="5" t="s">
        <v>509</v>
      </c>
      <c r="B231" s="5" t="s">
        <v>510</v>
      </c>
      <c r="C231" s="6">
        <v>19.600000000000001</v>
      </c>
      <c r="D231" s="6">
        <v>7.2</v>
      </c>
      <c r="E231" s="6">
        <v>3.2</v>
      </c>
      <c r="F231" s="6">
        <v>4.4999999999999998E-2</v>
      </c>
      <c r="G231" s="5"/>
      <c r="H231" s="7" t="s">
        <v>61</v>
      </c>
      <c r="I231" s="5" t="s">
        <v>62</v>
      </c>
      <c r="J231" s="5" t="str">
        <f>IF(COUNTIF(packages_master!$A:$A,A231)&gt;0,"Y","N")</f>
        <v>N</v>
      </c>
      <c r="K231" s="5" t="str">
        <f t="shared" si="16"/>
        <v/>
      </c>
      <c r="L231" s="5" t="str">
        <f t="shared" si="17"/>
        <v/>
      </c>
      <c r="M231" s="5" t="str">
        <f t="shared" si="18"/>
        <v>NORMAL</v>
      </c>
      <c r="N231" s="5" t="str">
        <f t="shared" si="19"/>
        <v/>
      </c>
      <c r="O231" s="12"/>
      <c r="P231" s="12"/>
      <c r="Q231" s="12"/>
      <c r="R231" s="12" t="s">
        <v>63</v>
      </c>
      <c r="S231" s="12"/>
    </row>
    <row r="232" spans="1:19" x14ac:dyDescent="0.25">
      <c r="A232" s="5" t="s">
        <v>511</v>
      </c>
      <c r="B232" s="5" t="s">
        <v>512</v>
      </c>
      <c r="C232" s="6">
        <v>24.8</v>
      </c>
      <c r="D232" s="6">
        <v>15.9</v>
      </c>
      <c r="E232" s="6">
        <v>6.3</v>
      </c>
      <c r="F232" s="6">
        <v>0.53600000000000003</v>
      </c>
      <c r="G232" s="5"/>
      <c r="H232" s="7" t="s">
        <v>61</v>
      </c>
      <c r="I232" s="5" t="s">
        <v>62</v>
      </c>
      <c r="J232" s="5" t="str">
        <f>IF(COUNTIF(packages_master!$A:$A,A232)&gt;0,"Y","N")</f>
        <v>N</v>
      </c>
      <c r="K232" s="5" t="str">
        <f t="shared" si="16"/>
        <v/>
      </c>
      <c r="L232" s="5" t="str">
        <f t="shared" si="17"/>
        <v/>
      </c>
      <c r="M232" s="5" t="str">
        <f t="shared" si="18"/>
        <v>NORMAL</v>
      </c>
      <c r="N232" s="5" t="str">
        <f t="shared" si="19"/>
        <v/>
      </c>
      <c r="O232" s="12"/>
      <c r="P232" s="12"/>
      <c r="Q232" s="12"/>
      <c r="R232" s="12" t="s">
        <v>63</v>
      </c>
      <c r="S232" s="12"/>
    </row>
    <row r="233" spans="1:19" s="20" customFormat="1" x14ac:dyDescent="0.25">
      <c r="A233" s="5" t="s">
        <v>1390</v>
      </c>
      <c r="B233" s="5" t="s">
        <v>2072</v>
      </c>
      <c r="C233" s="6">
        <v>19.600000000000001</v>
      </c>
      <c r="D233" s="6">
        <v>7.6</v>
      </c>
      <c r="E233" s="6">
        <v>5.2</v>
      </c>
      <c r="F233" s="6">
        <v>0.08</v>
      </c>
      <c r="G233" s="5" t="s">
        <v>515</v>
      </c>
      <c r="H233" s="7" t="s">
        <v>61</v>
      </c>
      <c r="I233" s="5" t="s">
        <v>62</v>
      </c>
      <c r="J233" s="5" t="str">
        <f>IF(COUNTIF(packages_master!$A:$A,A233)&gt;0,"Y","N")</f>
        <v>N</v>
      </c>
      <c r="K233" s="5" t="str">
        <f t="shared" ref="K233" si="20">IF(G233&lt;&gt;"","BX010","")</f>
        <v>BX010</v>
      </c>
      <c r="L233" s="5">
        <f t="shared" ref="L233" si="21">IF(G233&lt;&gt;"",300,"")</f>
        <v>300</v>
      </c>
      <c r="M233" s="5" t="str">
        <f t="shared" ref="M233" si="22">IF(J233="Y","PACKAGE_SEALED",IF(G233&lt;&gt;"","SPECIAL_300","NORMAL"))</f>
        <v>SPECIAL_300</v>
      </c>
      <c r="N233" s="5" t="str">
        <f t="shared" ref="N233" si="23">IF(J233="Y","packages_master","")</f>
        <v/>
      </c>
      <c r="O233" s="21"/>
      <c r="P233" s="21"/>
      <c r="Q233" s="21"/>
      <c r="R233" s="21" t="s">
        <v>63</v>
      </c>
      <c r="S233" s="21"/>
    </row>
    <row r="234" spans="1:19" x14ac:dyDescent="0.25">
      <c r="A234" s="5" t="s">
        <v>513</v>
      </c>
      <c r="B234" s="5" t="s">
        <v>514</v>
      </c>
      <c r="C234" s="6">
        <v>19.600000000000001</v>
      </c>
      <c r="D234" s="6">
        <v>7.6</v>
      </c>
      <c r="E234" s="6">
        <v>5.2</v>
      </c>
      <c r="F234" s="6">
        <v>0.08</v>
      </c>
      <c r="G234" s="5" t="s">
        <v>515</v>
      </c>
      <c r="H234" s="7" t="s">
        <v>61</v>
      </c>
      <c r="I234" s="5" t="s">
        <v>62</v>
      </c>
      <c r="J234" s="5" t="str">
        <f>IF(COUNTIF(packages_master!$A:$A,A234)&gt;0,"Y","N")</f>
        <v>N</v>
      </c>
      <c r="K234" s="5" t="str">
        <f t="shared" si="16"/>
        <v>BX010</v>
      </c>
      <c r="L234" s="5">
        <f t="shared" si="17"/>
        <v>300</v>
      </c>
      <c r="M234" s="5" t="str">
        <f t="shared" si="18"/>
        <v>SPECIAL_300</v>
      </c>
      <c r="N234" s="5" t="str">
        <f t="shared" si="19"/>
        <v/>
      </c>
      <c r="O234" s="12"/>
      <c r="P234" s="12"/>
      <c r="Q234" s="12"/>
      <c r="R234" s="12" t="s">
        <v>63</v>
      </c>
      <c r="S234" s="12"/>
    </row>
    <row r="235" spans="1:19" x14ac:dyDescent="0.25">
      <c r="A235" s="5" t="s">
        <v>516</v>
      </c>
      <c r="B235" s="5" t="s">
        <v>517</v>
      </c>
      <c r="C235" s="6">
        <v>19.600000000000001</v>
      </c>
      <c r="D235" s="6">
        <v>7.6</v>
      </c>
      <c r="E235" s="6">
        <v>5.2</v>
      </c>
      <c r="F235" s="6">
        <v>8.1000000000000003E-2</v>
      </c>
      <c r="G235" s="5" t="s">
        <v>515</v>
      </c>
      <c r="H235" s="7" t="s">
        <v>61</v>
      </c>
      <c r="I235" s="5" t="s">
        <v>62</v>
      </c>
      <c r="J235" s="5" t="str">
        <f>IF(COUNTIF(packages_master!$A:$A,A235)&gt;0,"Y","N")</f>
        <v>N</v>
      </c>
      <c r="K235" s="5" t="str">
        <f t="shared" si="16"/>
        <v>BX010</v>
      </c>
      <c r="L235" s="5">
        <f t="shared" si="17"/>
        <v>300</v>
      </c>
      <c r="M235" s="5" t="str">
        <f t="shared" si="18"/>
        <v>SPECIAL_300</v>
      </c>
      <c r="N235" s="5" t="str">
        <f t="shared" si="19"/>
        <v/>
      </c>
      <c r="O235" s="12"/>
      <c r="P235" s="12"/>
      <c r="Q235" s="12"/>
      <c r="R235" s="12" t="s">
        <v>63</v>
      </c>
      <c r="S235" s="12"/>
    </row>
    <row r="236" spans="1:19" x14ac:dyDescent="0.25">
      <c r="A236" s="5" t="s">
        <v>518</v>
      </c>
      <c r="B236" s="5" t="s">
        <v>519</v>
      </c>
      <c r="C236" s="6">
        <v>19.600000000000001</v>
      </c>
      <c r="D236" s="6">
        <v>7.6</v>
      </c>
      <c r="E236" s="6">
        <v>5.2</v>
      </c>
      <c r="F236" s="6">
        <v>8.2000000000000003E-2</v>
      </c>
      <c r="G236" s="5" t="s">
        <v>515</v>
      </c>
      <c r="H236" s="7" t="s">
        <v>61</v>
      </c>
      <c r="I236" s="5" t="s">
        <v>62</v>
      </c>
      <c r="J236" s="5" t="str">
        <f>IF(COUNTIF(packages_master!$A:$A,A236)&gt;0,"Y","N")</f>
        <v>N</v>
      </c>
      <c r="K236" s="5" t="str">
        <f t="shared" si="16"/>
        <v>BX010</v>
      </c>
      <c r="L236" s="5">
        <f t="shared" si="17"/>
        <v>300</v>
      </c>
      <c r="M236" s="5" t="str">
        <f t="shared" si="18"/>
        <v>SPECIAL_300</v>
      </c>
      <c r="N236" s="5" t="str">
        <f t="shared" si="19"/>
        <v/>
      </c>
      <c r="O236" s="12"/>
      <c r="P236" s="12"/>
      <c r="Q236" s="12"/>
      <c r="R236" s="12" t="s">
        <v>63</v>
      </c>
      <c r="S236" s="12"/>
    </row>
    <row r="237" spans="1:19" x14ac:dyDescent="0.25">
      <c r="A237" s="5" t="s">
        <v>520</v>
      </c>
      <c r="B237" s="5" t="s">
        <v>521</v>
      </c>
      <c r="C237" s="6">
        <v>19.600000000000001</v>
      </c>
      <c r="D237" s="6">
        <v>7.6</v>
      </c>
      <c r="E237" s="6">
        <v>5.2</v>
      </c>
      <c r="F237" s="6">
        <v>8.1000000000000003E-2</v>
      </c>
      <c r="G237" s="5" t="s">
        <v>515</v>
      </c>
      <c r="H237" s="7" t="s">
        <v>61</v>
      </c>
      <c r="I237" s="5" t="s">
        <v>62</v>
      </c>
      <c r="J237" s="5" t="str">
        <f>IF(COUNTIF(packages_master!$A:$A,A237)&gt;0,"Y","N")</f>
        <v>N</v>
      </c>
      <c r="K237" s="5" t="str">
        <f t="shared" si="16"/>
        <v>BX010</v>
      </c>
      <c r="L237" s="5">
        <f t="shared" si="17"/>
        <v>300</v>
      </c>
      <c r="M237" s="5" t="str">
        <f t="shared" si="18"/>
        <v>SPECIAL_300</v>
      </c>
      <c r="N237" s="5" t="str">
        <f t="shared" si="19"/>
        <v/>
      </c>
      <c r="O237" s="12"/>
      <c r="P237" s="12"/>
      <c r="Q237" s="12"/>
      <c r="R237" s="12" t="s">
        <v>63</v>
      </c>
      <c r="S237" s="12"/>
    </row>
    <row r="238" spans="1:19" x14ac:dyDescent="0.25">
      <c r="A238" s="5" t="s">
        <v>522</v>
      </c>
      <c r="B238" s="5" t="s">
        <v>523</v>
      </c>
      <c r="C238" s="6">
        <v>19.600000000000001</v>
      </c>
      <c r="D238" s="6">
        <v>7.6</v>
      </c>
      <c r="E238" s="6">
        <v>5.2</v>
      </c>
      <c r="F238" s="6">
        <v>8.1000000000000003E-2</v>
      </c>
      <c r="G238" s="5" t="s">
        <v>515</v>
      </c>
      <c r="H238" s="7" t="s">
        <v>61</v>
      </c>
      <c r="I238" s="5" t="s">
        <v>62</v>
      </c>
      <c r="J238" s="5" t="str">
        <f>IF(COUNTIF(packages_master!$A:$A,A238)&gt;0,"Y","N")</f>
        <v>N</v>
      </c>
      <c r="K238" s="5" t="str">
        <f t="shared" si="16"/>
        <v>BX010</v>
      </c>
      <c r="L238" s="5">
        <f t="shared" si="17"/>
        <v>300</v>
      </c>
      <c r="M238" s="5" t="str">
        <f t="shared" si="18"/>
        <v>SPECIAL_300</v>
      </c>
      <c r="N238" s="5" t="str">
        <f t="shared" si="19"/>
        <v/>
      </c>
      <c r="O238" s="12"/>
      <c r="P238" s="12"/>
      <c r="Q238" s="12"/>
      <c r="R238" s="12" t="s">
        <v>63</v>
      </c>
      <c r="S238" s="12"/>
    </row>
    <row r="239" spans="1:19" x14ac:dyDescent="0.25">
      <c r="A239" s="5" t="s">
        <v>524</v>
      </c>
      <c r="B239" s="5" t="s">
        <v>525</v>
      </c>
      <c r="C239" s="6">
        <v>19.600000000000001</v>
      </c>
      <c r="D239" s="6">
        <v>7.6</v>
      </c>
      <c r="E239" s="6">
        <v>5.2</v>
      </c>
      <c r="F239" s="6">
        <v>8.1000000000000003E-2</v>
      </c>
      <c r="G239" s="5" t="s">
        <v>515</v>
      </c>
      <c r="H239" s="7" t="s">
        <v>61</v>
      </c>
      <c r="I239" s="5" t="s">
        <v>62</v>
      </c>
      <c r="J239" s="5" t="str">
        <f>IF(COUNTIF(packages_master!$A:$A,A239)&gt;0,"Y","N")</f>
        <v>N</v>
      </c>
      <c r="K239" s="5" t="str">
        <f t="shared" si="16"/>
        <v>BX010</v>
      </c>
      <c r="L239" s="5">
        <f t="shared" si="17"/>
        <v>300</v>
      </c>
      <c r="M239" s="5" t="str">
        <f t="shared" si="18"/>
        <v>SPECIAL_300</v>
      </c>
      <c r="N239" s="5" t="str">
        <f t="shared" si="19"/>
        <v/>
      </c>
      <c r="O239" s="12"/>
      <c r="P239" s="12"/>
      <c r="Q239" s="12"/>
      <c r="R239" s="12" t="s">
        <v>63</v>
      </c>
      <c r="S239" s="12"/>
    </row>
    <row r="240" spans="1:19" x14ac:dyDescent="0.25">
      <c r="A240" s="5" t="s">
        <v>526</v>
      </c>
      <c r="B240" s="5" t="s">
        <v>527</v>
      </c>
      <c r="C240" s="6">
        <v>22.7</v>
      </c>
      <c r="D240" s="6">
        <v>11.7</v>
      </c>
      <c r="E240" s="6">
        <v>3.8</v>
      </c>
      <c r="F240" s="6">
        <v>0.13400000000000001</v>
      </c>
      <c r="G240" s="5"/>
      <c r="H240" s="7" t="s">
        <v>61</v>
      </c>
      <c r="I240" s="5" t="s">
        <v>62</v>
      </c>
      <c r="J240" s="5" t="str">
        <f>IF(COUNTIF(packages_master!$A:$A,A240)&gt;0,"Y","N")</f>
        <v>N</v>
      </c>
      <c r="K240" s="5" t="str">
        <f t="shared" si="16"/>
        <v/>
      </c>
      <c r="L240" s="5" t="str">
        <f t="shared" si="17"/>
        <v/>
      </c>
      <c r="M240" s="5" t="str">
        <f t="shared" si="18"/>
        <v>NORMAL</v>
      </c>
      <c r="N240" s="5" t="str">
        <f t="shared" si="19"/>
        <v/>
      </c>
      <c r="O240" s="12"/>
      <c r="P240" s="12"/>
      <c r="Q240" s="12"/>
      <c r="R240" s="12" t="s">
        <v>63</v>
      </c>
      <c r="S240" s="12"/>
    </row>
    <row r="241" spans="1:19" x14ac:dyDescent="0.25">
      <c r="A241" s="5" t="s">
        <v>528</v>
      </c>
      <c r="B241" s="5" t="s">
        <v>529</v>
      </c>
      <c r="C241" s="6">
        <v>22.7</v>
      </c>
      <c r="D241" s="6">
        <v>11.7</v>
      </c>
      <c r="E241" s="6">
        <v>3.8</v>
      </c>
      <c r="F241" s="6">
        <v>0.13600000000000001</v>
      </c>
      <c r="G241" s="5"/>
      <c r="H241" s="7" t="s">
        <v>61</v>
      </c>
      <c r="I241" s="5" t="s">
        <v>62</v>
      </c>
      <c r="J241" s="5" t="str">
        <f>IF(COUNTIF(packages_master!$A:$A,A241)&gt;0,"Y","N")</f>
        <v>N</v>
      </c>
      <c r="K241" s="5" t="str">
        <f t="shared" si="16"/>
        <v/>
      </c>
      <c r="L241" s="5" t="str">
        <f t="shared" si="17"/>
        <v/>
      </c>
      <c r="M241" s="5" t="str">
        <f t="shared" si="18"/>
        <v>NORMAL</v>
      </c>
      <c r="N241" s="5" t="str">
        <f t="shared" si="19"/>
        <v/>
      </c>
      <c r="O241" s="12"/>
      <c r="P241" s="12"/>
      <c r="Q241" s="12"/>
      <c r="R241" s="12" t="s">
        <v>63</v>
      </c>
      <c r="S241" s="12"/>
    </row>
    <row r="242" spans="1:19" x14ac:dyDescent="0.25">
      <c r="A242" s="5" t="s">
        <v>530</v>
      </c>
      <c r="B242" s="5" t="s">
        <v>531</v>
      </c>
      <c r="C242" s="6">
        <v>19.2</v>
      </c>
      <c r="D242" s="6">
        <v>7.9</v>
      </c>
      <c r="E242" s="6">
        <v>2.8</v>
      </c>
      <c r="F242" s="6">
        <v>4.2000000000000003E-2</v>
      </c>
      <c r="G242" s="5"/>
      <c r="H242" s="7" t="s">
        <v>61</v>
      </c>
      <c r="I242" s="5" t="s">
        <v>62</v>
      </c>
      <c r="J242" s="5" t="str">
        <f>IF(COUNTIF(packages_master!$A:$A,A242)&gt;0,"Y","N")</f>
        <v>N</v>
      </c>
      <c r="K242" s="5" t="str">
        <f t="shared" si="16"/>
        <v/>
      </c>
      <c r="L242" s="5" t="str">
        <f t="shared" si="17"/>
        <v/>
      </c>
      <c r="M242" s="5" t="str">
        <f t="shared" si="18"/>
        <v>NORMAL</v>
      </c>
      <c r="N242" s="5" t="str">
        <f t="shared" si="19"/>
        <v/>
      </c>
      <c r="O242" s="12"/>
      <c r="P242" s="12"/>
      <c r="Q242" s="12"/>
      <c r="R242" s="12" t="s">
        <v>63</v>
      </c>
      <c r="S242" s="12"/>
    </row>
    <row r="243" spans="1:19" x14ac:dyDescent="0.25">
      <c r="A243" s="5" t="s">
        <v>532</v>
      </c>
      <c r="B243" s="5" t="s">
        <v>533</v>
      </c>
      <c r="C243" s="6">
        <v>19.2</v>
      </c>
      <c r="D243" s="6">
        <v>7.9</v>
      </c>
      <c r="E243" s="6">
        <v>2.8</v>
      </c>
      <c r="F243" s="6">
        <v>4.2000000000000003E-2</v>
      </c>
      <c r="G243" s="5"/>
      <c r="H243" s="7" t="s">
        <v>61</v>
      </c>
      <c r="I243" s="5" t="s">
        <v>62</v>
      </c>
      <c r="J243" s="5" t="str">
        <f>IF(COUNTIF(packages_master!$A:$A,A243)&gt;0,"Y","N")</f>
        <v>N</v>
      </c>
      <c r="K243" s="5" t="str">
        <f t="shared" si="16"/>
        <v/>
      </c>
      <c r="L243" s="5" t="str">
        <f t="shared" si="17"/>
        <v/>
      </c>
      <c r="M243" s="5" t="str">
        <f t="shared" si="18"/>
        <v>NORMAL</v>
      </c>
      <c r="N243" s="5" t="str">
        <f t="shared" si="19"/>
        <v/>
      </c>
      <c r="O243" s="12"/>
      <c r="P243" s="12"/>
      <c r="Q243" s="12"/>
      <c r="R243" s="12" t="s">
        <v>63</v>
      </c>
      <c r="S243" s="12"/>
    </row>
    <row r="244" spans="1:19" x14ac:dyDescent="0.25">
      <c r="A244" s="5" t="s">
        <v>530</v>
      </c>
      <c r="B244" s="5" t="s">
        <v>534</v>
      </c>
      <c r="C244" s="6">
        <v>19.2</v>
      </c>
      <c r="D244" s="6">
        <v>7.9</v>
      </c>
      <c r="E244" s="6">
        <v>2.8</v>
      </c>
      <c r="F244" s="6">
        <v>4.2000000000000003E-2</v>
      </c>
      <c r="G244" s="5"/>
      <c r="H244" s="7" t="s">
        <v>61</v>
      </c>
      <c r="I244" s="5" t="s">
        <v>62</v>
      </c>
      <c r="J244" s="5" t="str">
        <f>IF(COUNTIF(packages_master!$A:$A,A244)&gt;0,"Y","N")</f>
        <v>N</v>
      </c>
      <c r="K244" s="5" t="str">
        <f t="shared" si="16"/>
        <v/>
      </c>
      <c r="L244" s="5" t="str">
        <f t="shared" si="17"/>
        <v/>
      </c>
      <c r="M244" s="5" t="str">
        <f t="shared" si="18"/>
        <v>NORMAL</v>
      </c>
      <c r="N244" s="5" t="str">
        <f t="shared" si="19"/>
        <v/>
      </c>
      <c r="O244" s="12"/>
      <c r="P244" s="12"/>
      <c r="Q244" s="12"/>
      <c r="R244" s="12" t="s">
        <v>63</v>
      </c>
      <c r="S244" s="12"/>
    </row>
    <row r="245" spans="1:19" x14ac:dyDescent="0.25">
      <c r="A245" s="5" t="s">
        <v>535</v>
      </c>
      <c r="B245" s="5" t="s">
        <v>536</v>
      </c>
      <c r="C245" s="6">
        <v>7.9</v>
      </c>
      <c r="D245" s="6">
        <v>4.5</v>
      </c>
      <c r="E245" s="6">
        <v>2.9</v>
      </c>
      <c r="F245" s="6">
        <v>3.4000000000000002E-2</v>
      </c>
      <c r="G245" s="5"/>
      <c r="H245" s="7" t="s">
        <v>61</v>
      </c>
      <c r="I245" s="5" t="s">
        <v>62</v>
      </c>
      <c r="J245" s="5" t="str">
        <f>IF(COUNTIF(packages_master!$A:$A,A245)&gt;0,"Y","N")</f>
        <v>N</v>
      </c>
      <c r="K245" s="5" t="str">
        <f t="shared" si="16"/>
        <v/>
      </c>
      <c r="L245" s="5" t="str">
        <f t="shared" si="17"/>
        <v/>
      </c>
      <c r="M245" s="5" t="str">
        <f t="shared" si="18"/>
        <v>NORMAL</v>
      </c>
      <c r="N245" s="5" t="str">
        <f t="shared" si="19"/>
        <v/>
      </c>
      <c r="O245" s="12"/>
      <c r="P245" s="12"/>
      <c r="Q245" s="12"/>
      <c r="R245" s="12" t="s">
        <v>63</v>
      </c>
      <c r="S245" s="12"/>
    </row>
    <row r="246" spans="1:19" x14ac:dyDescent="0.25">
      <c r="A246" s="5" t="s">
        <v>537</v>
      </c>
      <c r="B246" s="5" t="s">
        <v>538</v>
      </c>
      <c r="C246" s="6">
        <v>8.3000000000000007</v>
      </c>
      <c r="D246" s="6">
        <v>5.3</v>
      </c>
      <c r="E246" s="6">
        <v>3.7</v>
      </c>
      <c r="F246" s="6">
        <v>6.0999999999999999E-2</v>
      </c>
      <c r="G246" s="5"/>
      <c r="H246" s="7" t="s">
        <v>61</v>
      </c>
      <c r="I246" s="5" t="s">
        <v>62</v>
      </c>
      <c r="J246" s="5" t="str">
        <f>IF(COUNTIF(packages_master!$A:$A,A246)&gt;0,"Y","N")</f>
        <v>N</v>
      </c>
      <c r="K246" s="5" t="str">
        <f t="shared" si="16"/>
        <v/>
      </c>
      <c r="L246" s="5" t="str">
        <f t="shared" si="17"/>
        <v/>
      </c>
      <c r="M246" s="5" t="str">
        <f t="shared" si="18"/>
        <v>NORMAL</v>
      </c>
      <c r="N246" s="5" t="str">
        <f t="shared" si="19"/>
        <v/>
      </c>
      <c r="O246" s="12"/>
      <c r="P246" s="12"/>
      <c r="Q246" s="12"/>
      <c r="R246" s="12" t="s">
        <v>63</v>
      </c>
      <c r="S246" s="12"/>
    </row>
    <row r="247" spans="1:19" x14ac:dyDescent="0.25">
      <c r="A247" s="5" t="s">
        <v>539</v>
      </c>
      <c r="B247" s="5" t="s">
        <v>540</v>
      </c>
      <c r="C247" s="8">
        <v>10</v>
      </c>
      <c r="D247" s="8">
        <v>10</v>
      </c>
      <c r="E247" s="6">
        <v>11.2</v>
      </c>
      <c r="F247" s="6">
        <v>0.65200000000000002</v>
      </c>
      <c r="G247" s="5"/>
      <c r="H247" s="7" t="s">
        <v>61</v>
      </c>
      <c r="I247" s="5" t="s">
        <v>62</v>
      </c>
      <c r="J247" s="5" t="str">
        <f>IF(COUNTIF(packages_master!$A:$A,A247)&gt;0,"Y","N")</f>
        <v>N</v>
      </c>
      <c r="K247" s="5" t="str">
        <f t="shared" si="16"/>
        <v/>
      </c>
      <c r="L247" s="5" t="str">
        <f t="shared" si="17"/>
        <v/>
      </c>
      <c r="M247" s="5" t="str">
        <f t="shared" si="18"/>
        <v>NORMAL</v>
      </c>
      <c r="N247" s="5" t="str">
        <f t="shared" si="19"/>
        <v/>
      </c>
      <c r="O247" s="12"/>
      <c r="P247" s="12"/>
      <c r="Q247" s="12"/>
      <c r="R247" s="12" t="s">
        <v>63</v>
      </c>
      <c r="S247" s="12"/>
    </row>
    <row r="248" spans="1:19" x14ac:dyDescent="0.25">
      <c r="A248" s="5" t="s">
        <v>541</v>
      </c>
      <c r="B248" s="5" t="s">
        <v>542</v>
      </c>
      <c r="C248" s="6">
        <v>18.5</v>
      </c>
      <c r="D248" s="8">
        <v>8</v>
      </c>
      <c r="E248" s="8">
        <v>4</v>
      </c>
      <c r="F248" s="6">
        <v>0.1</v>
      </c>
      <c r="G248" s="5"/>
      <c r="H248" s="7" t="s">
        <v>61</v>
      </c>
      <c r="I248" s="5" t="s">
        <v>62</v>
      </c>
      <c r="J248" s="5" t="str">
        <f>IF(COUNTIF(packages_master!$A:$A,A248)&gt;0,"Y","N")</f>
        <v>N</v>
      </c>
      <c r="K248" s="5" t="str">
        <f t="shared" si="16"/>
        <v/>
      </c>
      <c r="L248" s="5" t="str">
        <f t="shared" si="17"/>
        <v/>
      </c>
      <c r="M248" s="5" t="str">
        <f t="shared" si="18"/>
        <v>NORMAL</v>
      </c>
      <c r="N248" s="5" t="str">
        <f t="shared" si="19"/>
        <v/>
      </c>
      <c r="O248" s="12"/>
      <c r="P248" s="12"/>
      <c r="Q248" s="12"/>
      <c r="R248" s="12" t="s">
        <v>63</v>
      </c>
      <c r="S248" s="12"/>
    </row>
    <row r="249" spans="1:19" x14ac:dyDescent="0.25">
      <c r="A249" s="5" t="s">
        <v>543</v>
      </c>
      <c r="B249" s="5" t="s">
        <v>544</v>
      </c>
      <c r="C249" s="6">
        <v>18.5</v>
      </c>
      <c r="D249" s="8">
        <v>8</v>
      </c>
      <c r="E249" s="8">
        <v>4</v>
      </c>
      <c r="F249" s="6">
        <v>0.1</v>
      </c>
      <c r="G249" s="5"/>
      <c r="H249" s="7" t="s">
        <v>61</v>
      </c>
      <c r="I249" s="5" t="s">
        <v>62</v>
      </c>
      <c r="J249" s="5" t="str">
        <f>IF(COUNTIF(packages_master!$A:$A,A249)&gt;0,"Y","N")</f>
        <v>N</v>
      </c>
      <c r="K249" s="5" t="str">
        <f t="shared" si="16"/>
        <v/>
      </c>
      <c r="L249" s="5" t="str">
        <f t="shared" si="17"/>
        <v/>
      </c>
      <c r="M249" s="5" t="str">
        <f t="shared" si="18"/>
        <v>NORMAL</v>
      </c>
      <c r="N249" s="5" t="str">
        <f t="shared" si="19"/>
        <v/>
      </c>
      <c r="O249" s="12"/>
      <c r="P249" s="12"/>
      <c r="Q249" s="12"/>
      <c r="R249" s="12" t="s">
        <v>63</v>
      </c>
      <c r="S249" s="12"/>
    </row>
    <row r="250" spans="1:19" x14ac:dyDescent="0.25">
      <c r="A250" s="5" t="s">
        <v>545</v>
      </c>
      <c r="B250" s="5" t="s">
        <v>546</v>
      </c>
      <c r="C250" s="6">
        <v>18.5</v>
      </c>
      <c r="D250" s="8">
        <v>8</v>
      </c>
      <c r="E250" s="8">
        <v>4</v>
      </c>
      <c r="F250" s="6">
        <v>0.1</v>
      </c>
      <c r="G250" s="5"/>
      <c r="H250" s="7" t="s">
        <v>61</v>
      </c>
      <c r="I250" s="5" t="s">
        <v>62</v>
      </c>
      <c r="J250" s="5" t="str">
        <f>IF(COUNTIF(packages_master!$A:$A,A250)&gt;0,"Y","N")</f>
        <v>N</v>
      </c>
      <c r="K250" s="5" t="str">
        <f t="shared" si="16"/>
        <v/>
      </c>
      <c r="L250" s="5" t="str">
        <f t="shared" si="17"/>
        <v/>
      </c>
      <c r="M250" s="5" t="str">
        <f t="shared" si="18"/>
        <v>NORMAL</v>
      </c>
      <c r="N250" s="5" t="str">
        <f t="shared" si="19"/>
        <v/>
      </c>
      <c r="O250" s="12"/>
      <c r="P250" s="12"/>
      <c r="Q250" s="12"/>
      <c r="R250" s="12" t="s">
        <v>63</v>
      </c>
      <c r="S250" s="12"/>
    </row>
    <row r="251" spans="1:19" x14ac:dyDescent="0.25">
      <c r="A251" s="5" t="s">
        <v>547</v>
      </c>
      <c r="B251" s="5" t="s">
        <v>548</v>
      </c>
      <c r="C251" s="6">
        <v>18.5</v>
      </c>
      <c r="D251" s="8">
        <v>8</v>
      </c>
      <c r="E251" s="8">
        <v>4</v>
      </c>
      <c r="F251" s="6">
        <v>0.1</v>
      </c>
      <c r="G251" s="5"/>
      <c r="H251" s="7" t="s">
        <v>61</v>
      </c>
      <c r="I251" s="5" t="s">
        <v>62</v>
      </c>
      <c r="J251" s="5" t="str">
        <f>IF(COUNTIF(packages_master!$A:$A,A251)&gt;0,"Y","N")</f>
        <v>N</v>
      </c>
      <c r="K251" s="5" t="str">
        <f t="shared" si="16"/>
        <v/>
      </c>
      <c r="L251" s="5" t="str">
        <f t="shared" si="17"/>
        <v/>
      </c>
      <c r="M251" s="5" t="str">
        <f t="shared" si="18"/>
        <v>NORMAL</v>
      </c>
      <c r="N251" s="5" t="str">
        <f t="shared" si="19"/>
        <v/>
      </c>
      <c r="O251" s="12"/>
      <c r="P251" s="12"/>
      <c r="Q251" s="12"/>
      <c r="R251" s="12" t="s">
        <v>63</v>
      </c>
      <c r="S251" s="12"/>
    </row>
    <row r="252" spans="1:19" x14ac:dyDescent="0.25">
      <c r="A252" s="5" t="s">
        <v>549</v>
      </c>
      <c r="B252" s="5" t="s">
        <v>550</v>
      </c>
      <c r="C252" s="6">
        <v>18.5</v>
      </c>
      <c r="D252" s="8">
        <v>8</v>
      </c>
      <c r="E252" s="8">
        <v>4</v>
      </c>
      <c r="F252" s="6">
        <v>0.1</v>
      </c>
      <c r="G252" s="5"/>
      <c r="H252" s="7" t="s">
        <v>61</v>
      </c>
      <c r="I252" s="5" t="s">
        <v>62</v>
      </c>
      <c r="J252" s="5" t="str">
        <f>IF(COUNTIF(packages_master!$A:$A,A252)&gt;0,"Y","N")</f>
        <v>N</v>
      </c>
      <c r="K252" s="5" t="str">
        <f t="shared" si="16"/>
        <v/>
      </c>
      <c r="L252" s="5" t="str">
        <f t="shared" si="17"/>
        <v/>
      </c>
      <c r="M252" s="5" t="str">
        <f t="shared" si="18"/>
        <v>NORMAL</v>
      </c>
      <c r="N252" s="5" t="str">
        <f t="shared" si="19"/>
        <v/>
      </c>
      <c r="O252" s="12"/>
      <c r="P252" s="12"/>
      <c r="Q252" s="12"/>
      <c r="R252" s="12" t="s">
        <v>63</v>
      </c>
      <c r="S252" s="12"/>
    </row>
    <row r="253" spans="1:19" x14ac:dyDescent="0.25">
      <c r="A253" s="5" t="s">
        <v>541</v>
      </c>
      <c r="B253" s="5" t="s">
        <v>551</v>
      </c>
      <c r="C253" s="6">
        <v>8.1999999999999993</v>
      </c>
      <c r="D253" s="6">
        <v>3.5</v>
      </c>
      <c r="E253" s="8">
        <v>3</v>
      </c>
      <c r="F253" s="6">
        <v>1.9E-2</v>
      </c>
      <c r="G253" s="5"/>
      <c r="H253" s="7" t="s">
        <v>61</v>
      </c>
      <c r="I253" s="5" t="s">
        <v>62</v>
      </c>
      <c r="J253" s="5" t="str">
        <f>IF(COUNTIF(packages_master!$A:$A,A253)&gt;0,"Y","N")</f>
        <v>N</v>
      </c>
      <c r="K253" s="5" t="str">
        <f t="shared" si="16"/>
        <v/>
      </c>
      <c r="L253" s="5" t="str">
        <f t="shared" si="17"/>
        <v/>
      </c>
      <c r="M253" s="5" t="str">
        <f t="shared" si="18"/>
        <v>NORMAL</v>
      </c>
      <c r="N253" s="5" t="str">
        <f t="shared" si="19"/>
        <v/>
      </c>
      <c r="O253" s="12"/>
      <c r="P253" s="12"/>
      <c r="Q253" s="12"/>
      <c r="R253" s="12" t="s">
        <v>63</v>
      </c>
      <c r="S253" s="12"/>
    </row>
    <row r="254" spans="1:19" x14ac:dyDescent="0.25">
      <c r="A254" s="5" t="s">
        <v>552</v>
      </c>
      <c r="B254" s="5" t="s">
        <v>553</v>
      </c>
      <c r="C254" s="6">
        <v>19.5</v>
      </c>
      <c r="D254" s="6">
        <v>7.1</v>
      </c>
      <c r="E254" s="6">
        <v>5.3</v>
      </c>
      <c r="F254" s="6">
        <v>8.2000000000000003E-2</v>
      </c>
      <c r="G254" s="5"/>
      <c r="H254" s="7" t="s">
        <v>61</v>
      </c>
      <c r="I254" s="5" t="s">
        <v>62</v>
      </c>
      <c r="J254" s="5" t="str">
        <f>IF(COUNTIF(packages_master!$A:$A,A254)&gt;0,"Y","N")</f>
        <v>N</v>
      </c>
      <c r="K254" s="5" t="str">
        <f t="shared" si="16"/>
        <v/>
      </c>
      <c r="L254" s="5" t="str">
        <f t="shared" si="17"/>
        <v/>
      </c>
      <c r="M254" s="5" t="str">
        <f t="shared" si="18"/>
        <v>NORMAL</v>
      </c>
      <c r="N254" s="5" t="str">
        <f t="shared" si="19"/>
        <v/>
      </c>
      <c r="O254" s="12"/>
      <c r="P254" s="12"/>
      <c r="Q254" s="12"/>
      <c r="R254" s="12" t="s">
        <v>63</v>
      </c>
      <c r="S254" s="12"/>
    </row>
    <row r="255" spans="1:19" x14ac:dyDescent="0.25">
      <c r="A255" s="5" t="s">
        <v>554</v>
      </c>
      <c r="B255" s="5" t="s">
        <v>555</v>
      </c>
      <c r="C255" s="6">
        <v>19.5</v>
      </c>
      <c r="D255" s="6">
        <v>7.1</v>
      </c>
      <c r="E255" s="6">
        <v>5.3</v>
      </c>
      <c r="F255" s="6">
        <v>8.2000000000000003E-2</v>
      </c>
      <c r="G255" s="5"/>
      <c r="H255" s="7" t="s">
        <v>61</v>
      </c>
      <c r="I255" s="5" t="s">
        <v>62</v>
      </c>
      <c r="J255" s="5" t="str">
        <f>IF(COUNTIF(packages_master!$A:$A,A255)&gt;0,"Y","N")</f>
        <v>N</v>
      </c>
      <c r="K255" s="5" t="str">
        <f t="shared" si="16"/>
        <v/>
      </c>
      <c r="L255" s="5" t="str">
        <f t="shared" si="17"/>
        <v/>
      </c>
      <c r="M255" s="5" t="str">
        <f t="shared" si="18"/>
        <v>NORMAL</v>
      </c>
      <c r="N255" s="5" t="str">
        <f t="shared" si="19"/>
        <v/>
      </c>
      <c r="O255" s="12"/>
      <c r="P255" s="12"/>
      <c r="Q255" s="12"/>
      <c r="R255" s="12" t="s">
        <v>63</v>
      </c>
      <c r="S255" s="12"/>
    </row>
    <row r="256" spans="1:19" x14ac:dyDescent="0.25">
      <c r="A256" s="5" t="s">
        <v>556</v>
      </c>
      <c r="B256" s="5" t="s">
        <v>557</v>
      </c>
      <c r="C256" s="6">
        <v>19.5</v>
      </c>
      <c r="D256" s="6">
        <v>7.1</v>
      </c>
      <c r="E256" s="6">
        <v>5.3</v>
      </c>
      <c r="F256" s="6">
        <v>8.2000000000000003E-2</v>
      </c>
      <c r="G256" s="5"/>
      <c r="H256" s="7" t="s">
        <v>61</v>
      </c>
      <c r="I256" s="5" t="s">
        <v>62</v>
      </c>
      <c r="J256" s="5" t="str">
        <f>IF(COUNTIF(packages_master!$A:$A,A256)&gt;0,"Y","N")</f>
        <v>N</v>
      </c>
      <c r="K256" s="5" t="str">
        <f t="shared" si="16"/>
        <v/>
      </c>
      <c r="L256" s="5" t="str">
        <f t="shared" si="17"/>
        <v/>
      </c>
      <c r="M256" s="5" t="str">
        <f t="shared" si="18"/>
        <v>NORMAL</v>
      </c>
      <c r="N256" s="5" t="str">
        <f t="shared" si="19"/>
        <v/>
      </c>
      <c r="O256" s="12"/>
      <c r="P256" s="12"/>
      <c r="Q256" s="12"/>
      <c r="R256" s="12" t="s">
        <v>63</v>
      </c>
      <c r="S256" s="12"/>
    </row>
    <row r="257" spans="1:19" x14ac:dyDescent="0.25">
      <c r="A257" s="5" t="s">
        <v>558</v>
      </c>
      <c r="B257" s="5" t="s">
        <v>559</v>
      </c>
      <c r="C257" s="6">
        <v>19.5</v>
      </c>
      <c r="D257" s="6">
        <v>7.1</v>
      </c>
      <c r="E257" s="6">
        <v>5.3</v>
      </c>
      <c r="F257" s="6">
        <v>8.2000000000000003E-2</v>
      </c>
      <c r="G257" s="5"/>
      <c r="H257" s="7" t="s">
        <v>61</v>
      </c>
      <c r="I257" s="5" t="s">
        <v>62</v>
      </c>
      <c r="J257" s="5" t="str">
        <f>IF(COUNTIF(packages_master!$A:$A,A257)&gt;0,"Y","N")</f>
        <v>N</v>
      </c>
      <c r="K257" s="5" t="str">
        <f t="shared" si="16"/>
        <v/>
      </c>
      <c r="L257" s="5" t="str">
        <f t="shared" si="17"/>
        <v/>
      </c>
      <c r="M257" s="5" t="str">
        <f t="shared" si="18"/>
        <v>NORMAL</v>
      </c>
      <c r="N257" s="5" t="str">
        <f t="shared" si="19"/>
        <v/>
      </c>
      <c r="O257" s="12"/>
      <c r="P257" s="12"/>
      <c r="Q257" s="12"/>
      <c r="R257" s="12" t="s">
        <v>63</v>
      </c>
      <c r="S257" s="12"/>
    </row>
    <row r="258" spans="1:19" x14ac:dyDescent="0.25">
      <c r="A258" s="5" t="s">
        <v>560</v>
      </c>
      <c r="B258" s="5" t="s">
        <v>561</v>
      </c>
      <c r="C258" s="6">
        <v>19.5</v>
      </c>
      <c r="D258" s="6">
        <v>7.1</v>
      </c>
      <c r="E258" s="6">
        <v>5.3</v>
      </c>
      <c r="F258" s="6">
        <v>8.3000000000000004E-2</v>
      </c>
      <c r="G258" s="5"/>
      <c r="H258" s="7" t="s">
        <v>61</v>
      </c>
      <c r="I258" s="5" t="s">
        <v>62</v>
      </c>
      <c r="J258" s="5" t="str">
        <f>IF(COUNTIF(packages_master!$A:$A,A258)&gt;0,"Y","N")</f>
        <v>N</v>
      </c>
      <c r="K258" s="5" t="str">
        <f t="shared" si="16"/>
        <v/>
      </c>
      <c r="L258" s="5" t="str">
        <f t="shared" si="17"/>
        <v/>
      </c>
      <c r="M258" s="5" t="str">
        <f t="shared" si="18"/>
        <v>NORMAL</v>
      </c>
      <c r="N258" s="5" t="str">
        <f t="shared" si="19"/>
        <v/>
      </c>
      <c r="O258" s="12"/>
      <c r="P258" s="12"/>
      <c r="Q258" s="12"/>
      <c r="R258" s="12" t="s">
        <v>63</v>
      </c>
      <c r="S258" s="12"/>
    </row>
    <row r="259" spans="1:19" x14ac:dyDescent="0.25">
      <c r="A259" s="5" t="s">
        <v>562</v>
      </c>
      <c r="B259" s="5" t="s">
        <v>563</v>
      </c>
      <c r="C259" s="6">
        <v>16.899999999999999</v>
      </c>
      <c r="D259" s="6">
        <v>8.3000000000000007</v>
      </c>
      <c r="E259" s="6">
        <v>2.7</v>
      </c>
      <c r="F259" s="6">
        <v>0.14499999999999999</v>
      </c>
      <c r="G259" s="5"/>
      <c r="H259" s="7" t="s">
        <v>61</v>
      </c>
      <c r="I259" s="5" t="s">
        <v>62</v>
      </c>
      <c r="J259" s="5" t="str">
        <f>IF(COUNTIF(packages_master!$A:$A,A259)&gt;0,"Y","N")</f>
        <v>N</v>
      </c>
      <c r="K259" s="5" t="str">
        <f t="shared" si="16"/>
        <v/>
      </c>
      <c r="L259" s="5" t="str">
        <f t="shared" si="17"/>
        <v/>
      </c>
      <c r="M259" s="5" t="str">
        <f t="shared" si="18"/>
        <v>NORMAL</v>
      </c>
      <c r="N259" s="5" t="str">
        <f t="shared" si="19"/>
        <v/>
      </c>
      <c r="O259" s="12"/>
      <c r="P259" s="12"/>
      <c r="Q259" s="12"/>
      <c r="R259" s="12" t="s">
        <v>63</v>
      </c>
      <c r="S259" s="12"/>
    </row>
    <row r="260" spans="1:19" x14ac:dyDescent="0.25">
      <c r="A260" s="5" t="s">
        <v>564</v>
      </c>
      <c r="B260" s="5" t="s">
        <v>565</v>
      </c>
      <c r="C260" s="8">
        <v>16</v>
      </c>
      <c r="D260" s="6">
        <v>7.5</v>
      </c>
      <c r="E260" s="8">
        <v>2</v>
      </c>
      <c r="F260" s="6">
        <v>6.2E-2</v>
      </c>
      <c r="G260" s="5"/>
      <c r="H260" s="7" t="s">
        <v>61</v>
      </c>
      <c r="I260" s="5" t="s">
        <v>62</v>
      </c>
      <c r="J260" s="5" t="str">
        <f>IF(COUNTIF(packages_master!$A:$A,A260)&gt;0,"Y","N")</f>
        <v>N</v>
      </c>
      <c r="K260" s="5" t="str">
        <f t="shared" si="16"/>
        <v/>
      </c>
      <c r="L260" s="5" t="str">
        <f t="shared" si="17"/>
        <v/>
      </c>
      <c r="M260" s="5" t="str">
        <f t="shared" si="18"/>
        <v>NORMAL</v>
      </c>
      <c r="N260" s="5" t="str">
        <f t="shared" si="19"/>
        <v/>
      </c>
      <c r="O260" s="12"/>
      <c r="P260" s="12"/>
      <c r="Q260" s="12"/>
      <c r="R260" s="12" t="s">
        <v>63</v>
      </c>
      <c r="S260" s="12"/>
    </row>
    <row r="261" spans="1:19" x14ac:dyDescent="0.25">
      <c r="A261" s="5" t="s">
        <v>566</v>
      </c>
      <c r="B261" s="5" t="s">
        <v>567</v>
      </c>
      <c r="C261" s="6">
        <v>20.5</v>
      </c>
      <c r="D261" s="6">
        <v>7.8</v>
      </c>
      <c r="E261" s="6">
        <v>6.8</v>
      </c>
      <c r="F261" s="6">
        <v>0.13200000000000001</v>
      </c>
      <c r="G261" s="5"/>
      <c r="H261" s="7" t="s">
        <v>61</v>
      </c>
      <c r="I261" s="5" t="s">
        <v>62</v>
      </c>
      <c r="J261" s="5" t="str">
        <f>IF(COUNTIF(packages_master!$A:$A,A261)&gt;0,"Y","N")</f>
        <v>N</v>
      </c>
      <c r="K261" s="5" t="str">
        <f t="shared" si="16"/>
        <v/>
      </c>
      <c r="L261" s="5" t="str">
        <f t="shared" si="17"/>
        <v/>
      </c>
      <c r="M261" s="5" t="str">
        <f t="shared" si="18"/>
        <v>NORMAL</v>
      </c>
      <c r="N261" s="5" t="str">
        <f t="shared" si="19"/>
        <v/>
      </c>
      <c r="O261" s="12"/>
      <c r="P261" s="12"/>
      <c r="Q261" s="12"/>
      <c r="R261" s="12" t="s">
        <v>63</v>
      </c>
      <c r="S261" s="12"/>
    </row>
    <row r="262" spans="1:19" x14ac:dyDescent="0.25">
      <c r="A262" s="5" t="s">
        <v>568</v>
      </c>
      <c r="B262" s="5" t="s">
        <v>569</v>
      </c>
      <c r="C262" s="6">
        <v>19.3</v>
      </c>
      <c r="D262" s="8">
        <v>7</v>
      </c>
      <c r="E262" s="6">
        <v>5.3</v>
      </c>
      <c r="F262" s="6">
        <v>0.08</v>
      </c>
      <c r="G262" s="5"/>
      <c r="H262" s="7" t="s">
        <v>61</v>
      </c>
      <c r="I262" s="5" t="s">
        <v>62</v>
      </c>
      <c r="J262" s="5" t="str">
        <f>IF(COUNTIF(packages_master!$A:$A,A262)&gt;0,"Y","N")</f>
        <v>N</v>
      </c>
      <c r="K262" s="5" t="str">
        <f t="shared" si="16"/>
        <v/>
      </c>
      <c r="L262" s="5" t="str">
        <f t="shared" si="17"/>
        <v/>
      </c>
      <c r="M262" s="5" t="str">
        <f t="shared" si="18"/>
        <v>NORMAL</v>
      </c>
      <c r="N262" s="5" t="str">
        <f t="shared" si="19"/>
        <v/>
      </c>
      <c r="O262" s="12"/>
      <c r="P262" s="12"/>
      <c r="Q262" s="12"/>
      <c r="R262" s="12" t="s">
        <v>63</v>
      </c>
      <c r="S262" s="12"/>
    </row>
    <row r="263" spans="1:19" x14ac:dyDescent="0.25">
      <c r="A263" s="5" t="s">
        <v>570</v>
      </c>
      <c r="B263" s="5" t="s">
        <v>571</v>
      </c>
      <c r="C263" s="6">
        <v>19.3</v>
      </c>
      <c r="D263" s="8">
        <v>7</v>
      </c>
      <c r="E263" s="6">
        <v>2.8</v>
      </c>
      <c r="F263" s="6">
        <v>4.7E-2</v>
      </c>
      <c r="G263" s="5"/>
      <c r="H263" s="7" t="s">
        <v>61</v>
      </c>
      <c r="I263" s="5" t="s">
        <v>62</v>
      </c>
      <c r="J263" s="5" t="str">
        <f>IF(COUNTIF(packages_master!$A:$A,A263)&gt;0,"Y","N")</f>
        <v>N</v>
      </c>
      <c r="K263" s="5" t="str">
        <f t="shared" si="16"/>
        <v/>
      </c>
      <c r="L263" s="5" t="str">
        <f t="shared" si="17"/>
        <v/>
      </c>
      <c r="M263" s="5" t="str">
        <f t="shared" si="18"/>
        <v>NORMAL</v>
      </c>
      <c r="N263" s="5" t="str">
        <f t="shared" si="19"/>
        <v/>
      </c>
      <c r="O263" s="12"/>
      <c r="P263" s="12"/>
      <c r="Q263" s="12"/>
      <c r="R263" s="12" t="s">
        <v>63</v>
      </c>
      <c r="S263" s="12"/>
    </row>
    <row r="264" spans="1:19" x14ac:dyDescent="0.25">
      <c r="A264" s="5" t="s">
        <v>572</v>
      </c>
      <c r="B264" s="5" t="s">
        <v>573</v>
      </c>
      <c r="C264" s="6">
        <v>19.3</v>
      </c>
      <c r="D264" s="8">
        <v>7</v>
      </c>
      <c r="E264" s="6">
        <v>2.8</v>
      </c>
      <c r="F264" s="6">
        <v>4.8000000000000001E-2</v>
      </c>
      <c r="G264" s="5"/>
      <c r="H264" s="7" t="s">
        <v>61</v>
      </c>
      <c r="I264" s="5" t="s">
        <v>62</v>
      </c>
      <c r="J264" s="5" t="str">
        <f>IF(COUNTIF(packages_master!$A:$A,A264)&gt;0,"Y","N")</f>
        <v>N</v>
      </c>
      <c r="K264" s="5" t="str">
        <f t="shared" si="16"/>
        <v/>
      </c>
      <c r="L264" s="5" t="str">
        <f t="shared" si="17"/>
        <v/>
      </c>
      <c r="M264" s="5" t="str">
        <f t="shared" si="18"/>
        <v>NORMAL</v>
      </c>
      <c r="N264" s="5" t="str">
        <f t="shared" si="19"/>
        <v/>
      </c>
      <c r="O264" s="12"/>
      <c r="P264" s="12"/>
      <c r="Q264" s="12"/>
      <c r="R264" s="12" t="s">
        <v>63</v>
      </c>
      <c r="S264" s="12"/>
    </row>
    <row r="265" spans="1:19" x14ac:dyDescent="0.25">
      <c r="A265" s="5" t="s">
        <v>574</v>
      </c>
      <c r="B265" s="5" t="s">
        <v>575</v>
      </c>
      <c r="C265" s="6">
        <v>19.3</v>
      </c>
      <c r="D265" s="8">
        <v>7</v>
      </c>
      <c r="E265" s="6">
        <v>2.8</v>
      </c>
      <c r="F265" s="6">
        <v>4.7E-2</v>
      </c>
      <c r="G265" s="5"/>
      <c r="H265" s="7" t="s">
        <v>61</v>
      </c>
      <c r="I265" s="5" t="s">
        <v>62</v>
      </c>
      <c r="J265" s="5" t="str">
        <f>IF(COUNTIF(packages_master!$A:$A,A265)&gt;0,"Y","N")</f>
        <v>N</v>
      </c>
      <c r="K265" s="5" t="str">
        <f t="shared" si="16"/>
        <v/>
      </c>
      <c r="L265" s="5" t="str">
        <f t="shared" si="17"/>
        <v/>
      </c>
      <c r="M265" s="5" t="str">
        <f t="shared" si="18"/>
        <v>NORMAL</v>
      </c>
      <c r="N265" s="5" t="str">
        <f t="shared" si="19"/>
        <v/>
      </c>
      <c r="O265" s="12"/>
      <c r="P265" s="12"/>
      <c r="Q265" s="12"/>
      <c r="R265" s="12" t="s">
        <v>63</v>
      </c>
      <c r="S265" s="12"/>
    </row>
    <row r="266" spans="1:19" x14ac:dyDescent="0.25">
      <c r="A266" s="5" t="s">
        <v>576</v>
      </c>
      <c r="B266" s="5" t="s">
        <v>577</v>
      </c>
      <c r="C266" s="6">
        <v>19.3</v>
      </c>
      <c r="D266" s="8">
        <v>7</v>
      </c>
      <c r="E266" s="6">
        <v>2.8</v>
      </c>
      <c r="F266" s="6">
        <v>4.9000000000000002E-2</v>
      </c>
      <c r="G266" s="5"/>
      <c r="H266" s="7" t="s">
        <v>61</v>
      </c>
      <c r="I266" s="5" t="s">
        <v>62</v>
      </c>
      <c r="J266" s="5" t="str">
        <f>IF(COUNTIF(packages_master!$A:$A,A266)&gt;0,"Y","N")</f>
        <v>N</v>
      </c>
      <c r="K266" s="5" t="str">
        <f t="shared" ref="K266:K329" si="24">IF(G266&lt;&gt;"","BX010","")</f>
        <v/>
      </c>
      <c r="L266" s="5" t="str">
        <f t="shared" ref="L266:L329" si="25">IF(G266&lt;&gt;"",300,"")</f>
        <v/>
      </c>
      <c r="M266" s="5" t="str">
        <f t="shared" ref="M266:M329" si="26">IF(J266="Y","PACKAGE_SEALED",IF(G266&lt;&gt;"","SPECIAL_300","NORMAL"))</f>
        <v>NORMAL</v>
      </c>
      <c r="N266" s="5" t="str">
        <f t="shared" ref="N266:N329" si="27">IF(J266="Y","packages_master","")</f>
        <v/>
      </c>
      <c r="O266" s="12"/>
      <c r="P266" s="12"/>
      <c r="Q266" s="12"/>
      <c r="R266" s="12" t="s">
        <v>63</v>
      </c>
      <c r="S266" s="12"/>
    </row>
    <row r="267" spans="1:19" x14ac:dyDescent="0.25">
      <c r="A267" s="5" t="s">
        <v>578</v>
      </c>
      <c r="B267" s="5" t="s">
        <v>579</v>
      </c>
      <c r="C267" s="6">
        <v>19.3</v>
      </c>
      <c r="D267" s="8">
        <v>7</v>
      </c>
      <c r="E267" s="6">
        <v>2.8</v>
      </c>
      <c r="F267" s="6">
        <v>4.8000000000000001E-2</v>
      </c>
      <c r="G267" s="5"/>
      <c r="H267" s="7" t="s">
        <v>61</v>
      </c>
      <c r="I267" s="5" t="s">
        <v>62</v>
      </c>
      <c r="J267" s="5" t="str">
        <f>IF(COUNTIF(packages_master!$A:$A,A267)&gt;0,"Y","N")</f>
        <v>N</v>
      </c>
      <c r="K267" s="5" t="str">
        <f t="shared" si="24"/>
        <v/>
      </c>
      <c r="L267" s="5" t="str">
        <f t="shared" si="25"/>
        <v/>
      </c>
      <c r="M267" s="5" t="str">
        <f t="shared" si="26"/>
        <v>NORMAL</v>
      </c>
      <c r="N267" s="5" t="str">
        <f t="shared" si="27"/>
        <v/>
      </c>
      <c r="O267" s="12"/>
      <c r="P267" s="12"/>
      <c r="Q267" s="12"/>
      <c r="R267" s="12" t="s">
        <v>63</v>
      </c>
      <c r="S267" s="12"/>
    </row>
    <row r="268" spans="1:19" x14ac:dyDescent="0.25">
      <c r="A268" s="5" t="s">
        <v>580</v>
      </c>
      <c r="B268" s="5" t="s">
        <v>581</v>
      </c>
      <c r="C268" s="6">
        <v>19.3</v>
      </c>
      <c r="D268" s="8">
        <v>7</v>
      </c>
      <c r="E268" s="6">
        <v>2.8</v>
      </c>
      <c r="F268" s="6">
        <v>4.7E-2</v>
      </c>
      <c r="G268" s="5"/>
      <c r="H268" s="7" t="s">
        <v>61</v>
      </c>
      <c r="I268" s="5" t="s">
        <v>62</v>
      </c>
      <c r="J268" s="5" t="str">
        <f>IF(COUNTIF(packages_master!$A:$A,A268)&gt;0,"Y","N")</f>
        <v>N</v>
      </c>
      <c r="K268" s="5" t="str">
        <f t="shared" si="24"/>
        <v/>
      </c>
      <c r="L268" s="5" t="str">
        <f t="shared" si="25"/>
        <v/>
      </c>
      <c r="M268" s="5" t="str">
        <f t="shared" si="26"/>
        <v>NORMAL</v>
      </c>
      <c r="N268" s="5" t="str">
        <f t="shared" si="27"/>
        <v/>
      </c>
      <c r="O268" s="12"/>
      <c r="P268" s="12"/>
      <c r="Q268" s="12"/>
      <c r="R268" s="12" t="s">
        <v>63</v>
      </c>
      <c r="S268" s="12"/>
    </row>
    <row r="269" spans="1:19" x14ac:dyDescent="0.25">
      <c r="A269" s="5" t="s">
        <v>582</v>
      </c>
      <c r="B269" s="5" t="s">
        <v>583</v>
      </c>
      <c r="C269" s="6">
        <v>6.4</v>
      </c>
      <c r="D269" s="6">
        <v>3.6</v>
      </c>
      <c r="E269" s="6">
        <v>3.6</v>
      </c>
      <c r="F269" s="6">
        <v>2.5000000000000001E-2</v>
      </c>
      <c r="G269" s="5"/>
      <c r="H269" s="7" t="s">
        <v>61</v>
      </c>
      <c r="I269" s="5" t="s">
        <v>62</v>
      </c>
      <c r="J269" s="5" t="str">
        <f>IF(COUNTIF(packages_master!$A:$A,A269)&gt;0,"Y","N")</f>
        <v>N</v>
      </c>
      <c r="K269" s="5" t="str">
        <f t="shared" si="24"/>
        <v/>
      </c>
      <c r="L269" s="5" t="str">
        <f t="shared" si="25"/>
        <v/>
      </c>
      <c r="M269" s="5" t="str">
        <f t="shared" si="26"/>
        <v>NORMAL</v>
      </c>
      <c r="N269" s="5" t="str">
        <f t="shared" si="27"/>
        <v/>
      </c>
      <c r="O269" s="12"/>
      <c r="P269" s="12"/>
      <c r="Q269" s="12"/>
      <c r="R269" s="12" t="s">
        <v>63</v>
      </c>
      <c r="S269" s="12"/>
    </row>
    <row r="270" spans="1:19" x14ac:dyDescent="0.25">
      <c r="A270" s="5" t="s">
        <v>584</v>
      </c>
      <c r="B270" s="5" t="s">
        <v>585</v>
      </c>
      <c r="C270" s="6">
        <v>21.2</v>
      </c>
      <c r="D270" s="6">
        <v>8.9</v>
      </c>
      <c r="E270" s="6">
        <v>4.7</v>
      </c>
      <c r="F270" s="6">
        <v>9.4E-2</v>
      </c>
      <c r="G270" s="5"/>
      <c r="H270" s="7" t="s">
        <v>61</v>
      </c>
      <c r="I270" s="5" t="s">
        <v>62</v>
      </c>
      <c r="J270" s="5" t="str">
        <f>IF(COUNTIF(packages_master!$A:$A,A270)&gt;0,"Y","N")</f>
        <v>N</v>
      </c>
      <c r="K270" s="5" t="str">
        <f t="shared" si="24"/>
        <v/>
      </c>
      <c r="L270" s="5" t="str">
        <f t="shared" si="25"/>
        <v/>
      </c>
      <c r="M270" s="5" t="str">
        <f t="shared" si="26"/>
        <v>NORMAL</v>
      </c>
      <c r="N270" s="5" t="str">
        <f t="shared" si="27"/>
        <v/>
      </c>
      <c r="O270" s="12"/>
      <c r="P270" s="12"/>
      <c r="Q270" s="12"/>
      <c r="R270" s="12" t="s">
        <v>63</v>
      </c>
      <c r="S270" s="12"/>
    </row>
    <row r="271" spans="1:19" x14ac:dyDescent="0.25">
      <c r="A271" s="5" t="s">
        <v>586</v>
      </c>
      <c r="B271" s="5" t="s">
        <v>587</v>
      </c>
      <c r="C271" s="6">
        <v>17.2</v>
      </c>
      <c r="D271" s="6">
        <v>7.9</v>
      </c>
      <c r="E271" s="6">
        <v>4.5999999999999996</v>
      </c>
      <c r="F271" s="6">
        <v>6.6000000000000003E-2</v>
      </c>
      <c r="G271" s="5"/>
      <c r="H271" s="7" t="s">
        <v>61</v>
      </c>
      <c r="I271" s="5" t="s">
        <v>62</v>
      </c>
      <c r="J271" s="5" t="str">
        <f>IF(COUNTIF(packages_master!$A:$A,A271)&gt;0,"Y","N")</f>
        <v>N</v>
      </c>
      <c r="K271" s="5" t="str">
        <f t="shared" si="24"/>
        <v/>
      </c>
      <c r="L271" s="5" t="str">
        <f t="shared" si="25"/>
        <v/>
      </c>
      <c r="M271" s="5" t="str">
        <f t="shared" si="26"/>
        <v>NORMAL</v>
      </c>
      <c r="N271" s="5" t="str">
        <f t="shared" si="27"/>
        <v/>
      </c>
      <c r="O271" s="12"/>
      <c r="P271" s="12"/>
      <c r="Q271" s="12"/>
      <c r="R271" s="12" t="s">
        <v>63</v>
      </c>
      <c r="S271" s="12"/>
    </row>
    <row r="272" spans="1:19" x14ac:dyDescent="0.25">
      <c r="A272" s="5" t="s">
        <v>588</v>
      </c>
      <c r="B272" s="5" t="s">
        <v>589</v>
      </c>
      <c r="C272" s="6">
        <v>17.2</v>
      </c>
      <c r="D272" s="6">
        <v>7.9</v>
      </c>
      <c r="E272" s="6">
        <v>4.5999999999999996</v>
      </c>
      <c r="F272" s="6">
        <v>6.5000000000000002E-2</v>
      </c>
      <c r="G272" s="5"/>
      <c r="H272" s="7" t="s">
        <v>61</v>
      </c>
      <c r="I272" s="5" t="s">
        <v>62</v>
      </c>
      <c r="J272" s="5" t="str">
        <f>IF(COUNTIF(packages_master!$A:$A,A272)&gt;0,"Y","N")</f>
        <v>N</v>
      </c>
      <c r="K272" s="5" t="str">
        <f t="shared" si="24"/>
        <v/>
      </c>
      <c r="L272" s="5" t="str">
        <f t="shared" si="25"/>
        <v/>
      </c>
      <c r="M272" s="5" t="str">
        <f t="shared" si="26"/>
        <v>NORMAL</v>
      </c>
      <c r="N272" s="5" t="str">
        <f t="shared" si="27"/>
        <v/>
      </c>
      <c r="O272" s="12"/>
      <c r="P272" s="12"/>
      <c r="Q272" s="12"/>
      <c r="R272" s="12" t="s">
        <v>63</v>
      </c>
      <c r="S272" s="12"/>
    </row>
    <row r="273" spans="1:19" x14ac:dyDescent="0.25">
      <c r="A273" s="5" t="s">
        <v>590</v>
      </c>
      <c r="B273" s="5" t="s">
        <v>591</v>
      </c>
      <c r="C273" s="6">
        <v>18.7</v>
      </c>
      <c r="D273" s="6">
        <v>6.9</v>
      </c>
      <c r="E273" s="6">
        <v>2.6</v>
      </c>
      <c r="F273" s="6">
        <v>5.8000000000000003E-2</v>
      </c>
      <c r="G273" s="5"/>
      <c r="H273" s="7" t="s">
        <v>61</v>
      </c>
      <c r="I273" s="5" t="s">
        <v>62</v>
      </c>
      <c r="J273" s="5" t="str">
        <f>IF(COUNTIF(packages_master!$A:$A,A273)&gt;0,"Y","N")</f>
        <v>N</v>
      </c>
      <c r="K273" s="5" t="str">
        <f t="shared" si="24"/>
        <v/>
      </c>
      <c r="L273" s="5" t="str">
        <f t="shared" si="25"/>
        <v/>
      </c>
      <c r="M273" s="5" t="str">
        <f t="shared" si="26"/>
        <v>NORMAL</v>
      </c>
      <c r="N273" s="5" t="str">
        <f t="shared" si="27"/>
        <v/>
      </c>
      <c r="O273" s="12"/>
      <c r="P273" s="12"/>
      <c r="Q273" s="12"/>
      <c r="R273" s="12" t="s">
        <v>63</v>
      </c>
      <c r="S273" s="12"/>
    </row>
    <row r="274" spans="1:19" x14ac:dyDescent="0.25">
      <c r="A274" s="5" t="s">
        <v>592</v>
      </c>
      <c r="B274" s="5" t="s">
        <v>593</v>
      </c>
      <c r="C274" s="6">
        <v>18.7</v>
      </c>
      <c r="D274" s="6">
        <v>6.9</v>
      </c>
      <c r="E274" s="6">
        <v>2.6</v>
      </c>
      <c r="F274" s="6">
        <v>6.4000000000000001E-2</v>
      </c>
      <c r="G274" s="5"/>
      <c r="H274" s="7" t="s">
        <v>61</v>
      </c>
      <c r="I274" s="5" t="s">
        <v>62</v>
      </c>
      <c r="J274" s="5" t="str">
        <f>IF(COUNTIF(packages_master!$A:$A,A274)&gt;0,"Y","N")</f>
        <v>N</v>
      </c>
      <c r="K274" s="5" t="str">
        <f t="shared" si="24"/>
        <v/>
      </c>
      <c r="L274" s="5" t="str">
        <f t="shared" si="25"/>
        <v/>
      </c>
      <c r="M274" s="5" t="str">
        <f t="shared" si="26"/>
        <v>NORMAL</v>
      </c>
      <c r="N274" s="5" t="str">
        <f t="shared" si="27"/>
        <v/>
      </c>
      <c r="O274" s="12"/>
      <c r="P274" s="12"/>
      <c r="Q274" s="12"/>
      <c r="R274" s="12" t="s">
        <v>63</v>
      </c>
      <c r="S274" s="12"/>
    </row>
    <row r="275" spans="1:19" x14ac:dyDescent="0.25">
      <c r="A275" s="5" t="s">
        <v>594</v>
      </c>
      <c r="B275" s="5" t="s">
        <v>595</v>
      </c>
      <c r="C275" s="6">
        <v>19.5</v>
      </c>
      <c r="D275" s="8">
        <v>15</v>
      </c>
      <c r="E275" s="6">
        <v>5.6</v>
      </c>
      <c r="F275" s="6">
        <v>0.115</v>
      </c>
      <c r="G275" s="5"/>
      <c r="H275" s="7" t="s">
        <v>61</v>
      </c>
      <c r="I275" s="5" t="s">
        <v>62</v>
      </c>
      <c r="J275" s="5" t="str">
        <f>IF(COUNTIF(packages_master!$A:$A,A275)&gt;0,"Y","N")</f>
        <v>N</v>
      </c>
      <c r="K275" s="5" t="str">
        <f t="shared" si="24"/>
        <v/>
      </c>
      <c r="L275" s="5" t="str">
        <f t="shared" si="25"/>
        <v/>
      </c>
      <c r="M275" s="5" t="str">
        <f t="shared" si="26"/>
        <v>NORMAL</v>
      </c>
      <c r="N275" s="5" t="str">
        <f t="shared" si="27"/>
        <v/>
      </c>
      <c r="O275" s="12"/>
      <c r="P275" s="12"/>
      <c r="Q275" s="12"/>
      <c r="R275" s="12" t="s">
        <v>63</v>
      </c>
      <c r="S275" s="12"/>
    </row>
    <row r="276" spans="1:19" x14ac:dyDescent="0.25">
      <c r="A276" s="5" t="s">
        <v>596</v>
      </c>
      <c r="B276" s="5" t="s">
        <v>597</v>
      </c>
      <c r="C276" s="6">
        <v>19.5</v>
      </c>
      <c r="D276" s="8">
        <v>15</v>
      </c>
      <c r="E276" s="6">
        <v>5.6</v>
      </c>
      <c r="F276" s="6">
        <v>0.114</v>
      </c>
      <c r="G276" s="5"/>
      <c r="H276" s="7" t="s">
        <v>61</v>
      </c>
      <c r="I276" s="5" t="s">
        <v>62</v>
      </c>
      <c r="J276" s="5" t="str">
        <f>IF(COUNTIF(packages_master!$A:$A,A276)&gt;0,"Y","N")</f>
        <v>N</v>
      </c>
      <c r="K276" s="5" t="str">
        <f t="shared" si="24"/>
        <v/>
      </c>
      <c r="L276" s="5" t="str">
        <f t="shared" si="25"/>
        <v/>
      </c>
      <c r="M276" s="5" t="str">
        <f t="shared" si="26"/>
        <v>NORMAL</v>
      </c>
      <c r="N276" s="5" t="str">
        <f t="shared" si="27"/>
        <v/>
      </c>
      <c r="O276" s="12"/>
      <c r="P276" s="12"/>
      <c r="Q276" s="12"/>
      <c r="R276" s="12" t="s">
        <v>63</v>
      </c>
      <c r="S276" s="12"/>
    </row>
    <row r="277" spans="1:19" x14ac:dyDescent="0.25">
      <c r="A277" s="5" t="s">
        <v>598</v>
      </c>
      <c r="B277" s="5" t="s">
        <v>599</v>
      </c>
      <c r="C277" s="6">
        <v>19.5</v>
      </c>
      <c r="D277" s="8">
        <v>15</v>
      </c>
      <c r="E277" s="6">
        <v>5.6</v>
      </c>
      <c r="F277" s="6">
        <v>0.127</v>
      </c>
      <c r="G277" s="5"/>
      <c r="H277" s="7" t="s">
        <v>61</v>
      </c>
      <c r="I277" s="5" t="s">
        <v>62</v>
      </c>
      <c r="J277" s="5" t="str">
        <f>IF(COUNTIF(packages_master!$A:$A,A277)&gt;0,"Y","N")</f>
        <v>N</v>
      </c>
      <c r="K277" s="5" t="str">
        <f t="shared" si="24"/>
        <v/>
      </c>
      <c r="L277" s="5" t="str">
        <f t="shared" si="25"/>
        <v/>
      </c>
      <c r="M277" s="5" t="str">
        <f t="shared" si="26"/>
        <v>NORMAL</v>
      </c>
      <c r="N277" s="5" t="str">
        <f t="shared" si="27"/>
        <v/>
      </c>
      <c r="O277" s="12"/>
      <c r="P277" s="12"/>
      <c r="Q277" s="12"/>
      <c r="R277" s="12" t="s">
        <v>63</v>
      </c>
      <c r="S277" s="12"/>
    </row>
    <row r="278" spans="1:19" x14ac:dyDescent="0.25">
      <c r="A278" s="5" t="s">
        <v>600</v>
      </c>
      <c r="B278" s="5" t="s">
        <v>601</v>
      </c>
      <c r="C278" s="6">
        <v>19.5</v>
      </c>
      <c r="D278" s="8">
        <v>15</v>
      </c>
      <c r="E278" s="6">
        <v>5.6</v>
      </c>
      <c r="F278" s="6">
        <v>0.115</v>
      </c>
      <c r="G278" s="5"/>
      <c r="H278" s="7" t="s">
        <v>61</v>
      </c>
      <c r="I278" s="5" t="s">
        <v>62</v>
      </c>
      <c r="J278" s="5" t="str">
        <f>IF(COUNTIF(packages_master!$A:$A,A278)&gt;0,"Y","N")</f>
        <v>N</v>
      </c>
      <c r="K278" s="5" t="str">
        <f t="shared" si="24"/>
        <v/>
      </c>
      <c r="L278" s="5" t="str">
        <f t="shared" si="25"/>
        <v/>
      </c>
      <c r="M278" s="5" t="str">
        <f t="shared" si="26"/>
        <v>NORMAL</v>
      </c>
      <c r="N278" s="5" t="str">
        <f t="shared" si="27"/>
        <v/>
      </c>
      <c r="O278" s="12"/>
      <c r="P278" s="12"/>
      <c r="Q278" s="12"/>
      <c r="R278" s="12" t="s">
        <v>63</v>
      </c>
      <c r="S278" s="12"/>
    </row>
    <row r="279" spans="1:19" x14ac:dyDescent="0.25">
      <c r="A279" s="5" t="s">
        <v>602</v>
      </c>
      <c r="B279" s="5" t="s">
        <v>603</v>
      </c>
      <c r="C279" s="6">
        <v>19.5</v>
      </c>
      <c r="D279" s="8">
        <v>15</v>
      </c>
      <c r="E279" s="6">
        <v>5.6</v>
      </c>
      <c r="F279" s="6">
        <v>0.112</v>
      </c>
      <c r="G279" s="5"/>
      <c r="H279" s="7" t="s">
        <v>61</v>
      </c>
      <c r="I279" s="5" t="s">
        <v>62</v>
      </c>
      <c r="J279" s="5" t="str">
        <f>IF(COUNTIF(packages_master!$A:$A,A279)&gt;0,"Y","N")</f>
        <v>N</v>
      </c>
      <c r="K279" s="5" t="str">
        <f t="shared" si="24"/>
        <v/>
      </c>
      <c r="L279" s="5" t="str">
        <f t="shared" si="25"/>
        <v/>
      </c>
      <c r="M279" s="5" t="str">
        <f t="shared" si="26"/>
        <v>NORMAL</v>
      </c>
      <c r="N279" s="5" t="str">
        <f t="shared" si="27"/>
        <v/>
      </c>
      <c r="O279" s="12"/>
      <c r="P279" s="12"/>
      <c r="Q279" s="12"/>
      <c r="R279" s="12" t="s">
        <v>63</v>
      </c>
      <c r="S279" s="12"/>
    </row>
    <row r="280" spans="1:19" x14ac:dyDescent="0.25">
      <c r="A280" s="5" t="s">
        <v>604</v>
      </c>
      <c r="B280" s="5" t="s">
        <v>605</v>
      </c>
      <c r="C280" s="6">
        <v>19.3</v>
      </c>
      <c r="D280" s="6">
        <v>7.1</v>
      </c>
      <c r="E280" s="6">
        <v>2.9</v>
      </c>
      <c r="F280" s="6">
        <v>4.8000000000000001E-2</v>
      </c>
      <c r="G280" s="5"/>
      <c r="H280" s="7" t="s">
        <v>61</v>
      </c>
      <c r="I280" s="5" t="s">
        <v>62</v>
      </c>
      <c r="J280" s="5" t="str">
        <f>IF(COUNTIF(packages_master!$A:$A,A280)&gt;0,"Y","N")</f>
        <v>N</v>
      </c>
      <c r="K280" s="5" t="str">
        <f t="shared" si="24"/>
        <v/>
      </c>
      <c r="L280" s="5" t="str">
        <f t="shared" si="25"/>
        <v/>
      </c>
      <c r="M280" s="5" t="str">
        <f t="shared" si="26"/>
        <v>NORMAL</v>
      </c>
      <c r="N280" s="5" t="str">
        <f t="shared" si="27"/>
        <v/>
      </c>
      <c r="O280" s="12"/>
      <c r="P280" s="12"/>
      <c r="Q280" s="12"/>
      <c r="R280" s="12" t="s">
        <v>63</v>
      </c>
      <c r="S280" s="12"/>
    </row>
    <row r="281" spans="1:19" x14ac:dyDescent="0.25">
      <c r="A281" s="5" t="s">
        <v>606</v>
      </c>
      <c r="B281" s="5" t="s">
        <v>607</v>
      </c>
      <c r="C281" s="6">
        <v>19.3</v>
      </c>
      <c r="D281" s="6">
        <v>7.1</v>
      </c>
      <c r="E281" s="6">
        <v>2.9</v>
      </c>
      <c r="F281" s="6">
        <v>4.8000000000000001E-2</v>
      </c>
      <c r="G281" s="5"/>
      <c r="H281" s="7" t="s">
        <v>61</v>
      </c>
      <c r="I281" s="5" t="s">
        <v>62</v>
      </c>
      <c r="J281" s="5" t="str">
        <f>IF(COUNTIF(packages_master!$A:$A,A281)&gt;0,"Y","N")</f>
        <v>N</v>
      </c>
      <c r="K281" s="5" t="str">
        <f t="shared" si="24"/>
        <v/>
      </c>
      <c r="L281" s="5" t="str">
        <f t="shared" si="25"/>
        <v/>
      </c>
      <c r="M281" s="5" t="str">
        <f t="shared" si="26"/>
        <v>NORMAL</v>
      </c>
      <c r="N281" s="5" t="str">
        <f t="shared" si="27"/>
        <v/>
      </c>
      <c r="O281" s="12"/>
      <c r="P281" s="12"/>
      <c r="Q281" s="12"/>
      <c r="R281" s="12" t="s">
        <v>63</v>
      </c>
      <c r="S281" s="12"/>
    </row>
    <row r="282" spans="1:19" x14ac:dyDescent="0.25">
      <c r="A282" s="5" t="s">
        <v>608</v>
      </c>
      <c r="B282" s="5" t="s">
        <v>609</v>
      </c>
      <c r="C282" s="6">
        <v>19.3</v>
      </c>
      <c r="D282" s="6">
        <v>7.1</v>
      </c>
      <c r="E282" s="6">
        <v>2.9</v>
      </c>
      <c r="F282" s="6">
        <v>4.8000000000000001E-2</v>
      </c>
      <c r="G282" s="5"/>
      <c r="H282" s="7" t="s">
        <v>61</v>
      </c>
      <c r="I282" s="5" t="s">
        <v>62</v>
      </c>
      <c r="J282" s="5" t="str">
        <f>IF(COUNTIF(packages_master!$A:$A,A282)&gt;0,"Y","N")</f>
        <v>N</v>
      </c>
      <c r="K282" s="5" t="str">
        <f t="shared" si="24"/>
        <v/>
      </c>
      <c r="L282" s="5" t="str">
        <f t="shared" si="25"/>
        <v/>
      </c>
      <c r="M282" s="5" t="str">
        <f t="shared" si="26"/>
        <v>NORMAL</v>
      </c>
      <c r="N282" s="5" t="str">
        <f t="shared" si="27"/>
        <v/>
      </c>
      <c r="O282" s="12"/>
      <c r="P282" s="12"/>
      <c r="Q282" s="12"/>
      <c r="R282" s="12" t="s">
        <v>63</v>
      </c>
      <c r="S282" s="12"/>
    </row>
    <row r="283" spans="1:19" x14ac:dyDescent="0.25">
      <c r="A283" s="5" t="s">
        <v>610</v>
      </c>
      <c r="B283" s="5" t="s">
        <v>611</v>
      </c>
      <c r="C283" s="8">
        <v>18</v>
      </c>
      <c r="D283" s="6">
        <v>7.9</v>
      </c>
      <c r="E283" s="6">
        <v>3.1</v>
      </c>
      <c r="F283" s="6">
        <v>5.5E-2</v>
      </c>
      <c r="G283" s="5"/>
      <c r="H283" s="7" t="s">
        <v>61</v>
      </c>
      <c r="I283" s="5" t="s">
        <v>62</v>
      </c>
      <c r="J283" s="5" t="str">
        <f>IF(COUNTIF(packages_master!$A:$A,A283)&gt;0,"Y","N")</f>
        <v>N</v>
      </c>
      <c r="K283" s="5" t="str">
        <f t="shared" si="24"/>
        <v/>
      </c>
      <c r="L283" s="5" t="str">
        <f t="shared" si="25"/>
        <v/>
      </c>
      <c r="M283" s="5" t="str">
        <f t="shared" si="26"/>
        <v>NORMAL</v>
      </c>
      <c r="N283" s="5" t="str">
        <f t="shared" si="27"/>
        <v/>
      </c>
      <c r="O283" s="12"/>
      <c r="P283" s="12"/>
      <c r="Q283" s="12"/>
      <c r="R283" s="12" t="s">
        <v>63</v>
      </c>
      <c r="S283" s="12"/>
    </row>
    <row r="284" spans="1:19" x14ac:dyDescent="0.25">
      <c r="A284" s="5" t="s">
        <v>612</v>
      </c>
      <c r="B284" s="5" t="s">
        <v>613</v>
      </c>
      <c r="C284" s="8">
        <v>18</v>
      </c>
      <c r="D284" s="6">
        <v>7.9</v>
      </c>
      <c r="E284" s="6">
        <v>3.1</v>
      </c>
      <c r="F284" s="6">
        <v>5.5E-2</v>
      </c>
      <c r="G284" s="5"/>
      <c r="H284" s="7" t="s">
        <v>61</v>
      </c>
      <c r="I284" s="5" t="s">
        <v>62</v>
      </c>
      <c r="J284" s="5" t="str">
        <f>IF(COUNTIF(packages_master!$A:$A,A284)&gt;0,"Y","N")</f>
        <v>N</v>
      </c>
      <c r="K284" s="5" t="str">
        <f t="shared" si="24"/>
        <v/>
      </c>
      <c r="L284" s="5" t="str">
        <f t="shared" si="25"/>
        <v/>
      </c>
      <c r="M284" s="5" t="str">
        <f t="shared" si="26"/>
        <v>NORMAL</v>
      </c>
      <c r="N284" s="5" t="str">
        <f t="shared" si="27"/>
        <v/>
      </c>
      <c r="O284" s="12"/>
      <c r="P284" s="12"/>
      <c r="Q284" s="12"/>
      <c r="R284" s="12" t="s">
        <v>63</v>
      </c>
      <c r="S284" s="12"/>
    </row>
    <row r="285" spans="1:19" x14ac:dyDescent="0.25">
      <c r="A285" s="5" t="s">
        <v>614</v>
      </c>
      <c r="B285" s="5" t="s">
        <v>615</v>
      </c>
      <c r="C285" s="8">
        <v>18</v>
      </c>
      <c r="D285" s="6">
        <v>7.9</v>
      </c>
      <c r="E285" s="6">
        <v>3.1</v>
      </c>
      <c r="F285" s="6">
        <v>5.5E-2</v>
      </c>
      <c r="G285" s="5"/>
      <c r="H285" s="7" t="s">
        <v>61</v>
      </c>
      <c r="I285" s="5" t="s">
        <v>62</v>
      </c>
      <c r="J285" s="5" t="str">
        <f>IF(COUNTIF(packages_master!$A:$A,A285)&gt;0,"Y","N")</f>
        <v>N</v>
      </c>
      <c r="K285" s="5" t="str">
        <f t="shared" si="24"/>
        <v/>
      </c>
      <c r="L285" s="5" t="str">
        <f t="shared" si="25"/>
        <v/>
      </c>
      <c r="M285" s="5" t="str">
        <f t="shared" si="26"/>
        <v>NORMAL</v>
      </c>
      <c r="N285" s="5" t="str">
        <f t="shared" si="27"/>
        <v/>
      </c>
      <c r="O285" s="12"/>
      <c r="P285" s="12"/>
      <c r="Q285" s="12"/>
      <c r="R285" s="12" t="s">
        <v>63</v>
      </c>
      <c r="S285" s="12"/>
    </row>
    <row r="286" spans="1:19" x14ac:dyDescent="0.25">
      <c r="A286" s="5" t="s">
        <v>616</v>
      </c>
      <c r="B286" s="5" t="s">
        <v>617</v>
      </c>
      <c r="C286" s="6">
        <v>20.399999999999999</v>
      </c>
      <c r="D286" s="6">
        <v>7.9</v>
      </c>
      <c r="E286" s="6">
        <v>3.3</v>
      </c>
      <c r="F286" s="6">
        <v>6.3E-2</v>
      </c>
      <c r="G286" s="5"/>
      <c r="H286" s="7" t="s">
        <v>61</v>
      </c>
      <c r="I286" s="5" t="s">
        <v>62</v>
      </c>
      <c r="J286" s="5" t="str">
        <f>IF(COUNTIF(packages_master!$A:$A,A286)&gt;0,"Y","N")</f>
        <v>N</v>
      </c>
      <c r="K286" s="5" t="str">
        <f t="shared" si="24"/>
        <v/>
      </c>
      <c r="L286" s="5" t="str">
        <f t="shared" si="25"/>
        <v/>
      </c>
      <c r="M286" s="5" t="str">
        <f t="shared" si="26"/>
        <v>NORMAL</v>
      </c>
      <c r="N286" s="5" t="str">
        <f t="shared" si="27"/>
        <v/>
      </c>
      <c r="O286" s="12"/>
      <c r="P286" s="12"/>
      <c r="Q286" s="12"/>
      <c r="R286" s="12" t="s">
        <v>63</v>
      </c>
      <c r="S286" s="12"/>
    </row>
    <row r="287" spans="1:19" x14ac:dyDescent="0.25">
      <c r="A287" s="5" t="s">
        <v>618</v>
      </c>
      <c r="B287" s="5" t="s">
        <v>619</v>
      </c>
      <c r="C287" s="8">
        <v>19</v>
      </c>
      <c r="D287" s="6">
        <v>7.5</v>
      </c>
      <c r="E287" s="8">
        <v>7</v>
      </c>
      <c r="F287" s="6">
        <v>9.7000000000000003E-2</v>
      </c>
      <c r="G287" s="5"/>
      <c r="H287" s="7" t="s">
        <v>61</v>
      </c>
      <c r="I287" s="5" t="s">
        <v>62</v>
      </c>
      <c r="J287" s="5" t="str">
        <f>IF(COUNTIF(packages_master!$A:$A,A287)&gt;0,"Y","N")</f>
        <v>N</v>
      </c>
      <c r="K287" s="5" t="str">
        <f t="shared" si="24"/>
        <v/>
      </c>
      <c r="L287" s="5" t="str">
        <f t="shared" si="25"/>
        <v/>
      </c>
      <c r="M287" s="5" t="str">
        <f t="shared" si="26"/>
        <v>NORMAL</v>
      </c>
      <c r="N287" s="5" t="str">
        <f t="shared" si="27"/>
        <v/>
      </c>
      <c r="O287" s="12"/>
      <c r="P287" s="12"/>
      <c r="Q287" s="12"/>
      <c r="R287" s="12" t="s">
        <v>63</v>
      </c>
      <c r="S287" s="12"/>
    </row>
    <row r="288" spans="1:19" x14ac:dyDescent="0.25">
      <c r="A288" s="5" t="s">
        <v>620</v>
      </c>
      <c r="B288" s="5" t="s">
        <v>621</v>
      </c>
      <c r="C288" s="6">
        <v>17.100000000000001</v>
      </c>
      <c r="D288" s="6">
        <v>8.1</v>
      </c>
      <c r="E288" s="6">
        <v>3.4</v>
      </c>
      <c r="F288" s="6">
        <v>0.17399999999999999</v>
      </c>
      <c r="G288" s="5"/>
      <c r="H288" s="7" t="s">
        <v>61</v>
      </c>
      <c r="I288" s="5" t="s">
        <v>62</v>
      </c>
      <c r="J288" s="5" t="str">
        <f>IF(COUNTIF(packages_master!$A:$A,A288)&gt;0,"Y","N")</f>
        <v>N</v>
      </c>
      <c r="K288" s="5" t="str">
        <f t="shared" si="24"/>
        <v/>
      </c>
      <c r="L288" s="5" t="str">
        <f t="shared" si="25"/>
        <v/>
      </c>
      <c r="M288" s="5" t="str">
        <f t="shared" si="26"/>
        <v>NORMAL</v>
      </c>
      <c r="N288" s="5" t="str">
        <f t="shared" si="27"/>
        <v/>
      </c>
      <c r="O288" s="12"/>
      <c r="P288" s="12"/>
      <c r="Q288" s="12"/>
      <c r="R288" s="12" t="s">
        <v>63</v>
      </c>
      <c r="S288" s="12"/>
    </row>
    <row r="289" spans="1:19" x14ac:dyDescent="0.25">
      <c r="A289" s="5" t="s">
        <v>622</v>
      </c>
      <c r="B289" s="5" t="s">
        <v>623</v>
      </c>
      <c r="C289" s="6">
        <v>17.100000000000001</v>
      </c>
      <c r="D289" s="6">
        <v>8.1</v>
      </c>
      <c r="E289" s="6">
        <v>3.4</v>
      </c>
      <c r="F289" s="6">
        <v>0.17199999999999999</v>
      </c>
      <c r="G289" s="5"/>
      <c r="H289" s="7" t="s">
        <v>61</v>
      </c>
      <c r="I289" s="5" t="s">
        <v>62</v>
      </c>
      <c r="J289" s="5" t="str">
        <f>IF(COUNTIF(packages_master!$A:$A,A289)&gt;0,"Y","N")</f>
        <v>N</v>
      </c>
      <c r="K289" s="5" t="str">
        <f t="shared" si="24"/>
        <v/>
      </c>
      <c r="L289" s="5" t="str">
        <f t="shared" si="25"/>
        <v/>
      </c>
      <c r="M289" s="5" t="str">
        <f t="shared" si="26"/>
        <v>NORMAL</v>
      </c>
      <c r="N289" s="5" t="str">
        <f t="shared" si="27"/>
        <v/>
      </c>
      <c r="O289" s="12"/>
      <c r="P289" s="12"/>
      <c r="Q289" s="12"/>
      <c r="R289" s="12" t="s">
        <v>63</v>
      </c>
      <c r="S289" s="12"/>
    </row>
    <row r="290" spans="1:19" x14ac:dyDescent="0.25">
      <c r="A290" s="5" t="s">
        <v>624</v>
      </c>
      <c r="B290" s="5" t="s">
        <v>625</v>
      </c>
      <c r="C290" s="8">
        <v>17</v>
      </c>
      <c r="D290" s="6">
        <v>14.7</v>
      </c>
      <c r="E290" s="6">
        <v>3.4</v>
      </c>
      <c r="F290" s="6">
        <v>0.28799999999999998</v>
      </c>
      <c r="G290" s="5"/>
      <c r="H290" s="7" t="s">
        <v>61</v>
      </c>
      <c r="I290" s="5" t="s">
        <v>62</v>
      </c>
      <c r="J290" s="5" t="str">
        <f>IF(COUNTIF(packages_master!$A:$A,A290)&gt;0,"Y","N")</f>
        <v>N</v>
      </c>
      <c r="K290" s="5" t="str">
        <f t="shared" si="24"/>
        <v/>
      </c>
      <c r="L290" s="5" t="str">
        <f t="shared" si="25"/>
        <v/>
      </c>
      <c r="M290" s="5" t="str">
        <f t="shared" si="26"/>
        <v>NORMAL</v>
      </c>
      <c r="N290" s="5" t="str">
        <f t="shared" si="27"/>
        <v/>
      </c>
      <c r="O290" s="12"/>
      <c r="P290" s="12"/>
      <c r="Q290" s="12"/>
      <c r="R290" s="12" t="s">
        <v>63</v>
      </c>
      <c r="S290" s="12"/>
    </row>
    <row r="291" spans="1:19" x14ac:dyDescent="0.25">
      <c r="A291" s="5" t="s">
        <v>626</v>
      </c>
      <c r="B291" s="5" t="s">
        <v>627</v>
      </c>
      <c r="C291" s="6">
        <v>32.5</v>
      </c>
      <c r="D291" s="6">
        <v>19.100000000000001</v>
      </c>
      <c r="E291" s="6">
        <v>2.7</v>
      </c>
      <c r="F291" s="6">
        <v>0.28499999999999998</v>
      </c>
      <c r="G291" s="5"/>
      <c r="H291" s="7" t="s">
        <v>61</v>
      </c>
      <c r="I291" s="5" t="s">
        <v>62</v>
      </c>
      <c r="J291" s="5" t="str">
        <f>IF(COUNTIF(packages_master!$A:$A,A291)&gt;0,"Y","N")</f>
        <v>N</v>
      </c>
      <c r="K291" s="5" t="str">
        <f t="shared" si="24"/>
        <v/>
      </c>
      <c r="L291" s="5" t="str">
        <f t="shared" si="25"/>
        <v/>
      </c>
      <c r="M291" s="5" t="str">
        <f t="shared" si="26"/>
        <v>NORMAL</v>
      </c>
      <c r="N291" s="5" t="str">
        <f t="shared" si="27"/>
        <v/>
      </c>
      <c r="O291" s="12"/>
      <c r="P291" s="12"/>
      <c r="Q291" s="12"/>
      <c r="R291" s="12" t="s">
        <v>63</v>
      </c>
      <c r="S291" s="12"/>
    </row>
    <row r="292" spans="1:19" x14ac:dyDescent="0.25">
      <c r="A292" s="5" t="s">
        <v>628</v>
      </c>
      <c r="B292" s="5" t="s">
        <v>629</v>
      </c>
      <c r="C292" s="6">
        <v>18.3</v>
      </c>
      <c r="D292" s="6">
        <v>6.9</v>
      </c>
      <c r="E292" s="6">
        <v>2.1</v>
      </c>
      <c r="F292" s="6">
        <v>3.9E-2</v>
      </c>
      <c r="G292" s="5"/>
      <c r="H292" s="7" t="s">
        <v>61</v>
      </c>
      <c r="I292" s="5" t="s">
        <v>62</v>
      </c>
      <c r="J292" s="5" t="str">
        <f>IF(COUNTIF(packages_master!$A:$A,A292)&gt;0,"Y","N")</f>
        <v>N</v>
      </c>
      <c r="K292" s="5" t="str">
        <f t="shared" si="24"/>
        <v/>
      </c>
      <c r="L292" s="5" t="str">
        <f t="shared" si="25"/>
        <v/>
      </c>
      <c r="M292" s="5" t="str">
        <f t="shared" si="26"/>
        <v>NORMAL</v>
      </c>
      <c r="N292" s="5" t="str">
        <f t="shared" si="27"/>
        <v/>
      </c>
      <c r="O292" s="12"/>
      <c r="P292" s="12"/>
      <c r="Q292" s="12"/>
      <c r="R292" s="12" t="s">
        <v>63</v>
      </c>
      <c r="S292" s="12"/>
    </row>
    <row r="293" spans="1:19" x14ac:dyDescent="0.25">
      <c r="A293" s="5" t="s">
        <v>630</v>
      </c>
      <c r="B293" s="5" t="s">
        <v>631</v>
      </c>
      <c r="C293" s="6">
        <v>18.3</v>
      </c>
      <c r="D293" s="6">
        <v>6.9</v>
      </c>
      <c r="E293" s="6">
        <v>2.1</v>
      </c>
      <c r="F293" s="6">
        <v>3.7999999999999999E-2</v>
      </c>
      <c r="G293" s="5"/>
      <c r="H293" s="7" t="s">
        <v>61</v>
      </c>
      <c r="I293" s="5" t="s">
        <v>62</v>
      </c>
      <c r="J293" s="5" t="str">
        <f>IF(COUNTIF(packages_master!$A:$A,A293)&gt;0,"Y","N")</f>
        <v>N</v>
      </c>
      <c r="K293" s="5" t="str">
        <f t="shared" si="24"/>
        <v/>
      </c>
      <c r="L293" s="5" t="str">
        <f t="shared" si="25"/>
        <v/>
      </c>
      <c r="M293" s="5" t="str">
        <f t="shared" si="26"/>
        <v>NORMAL</v>
      </c>
      <c r="N293" s="5" t="str">
        <f t="shared" si="27"/>
        <v/>
      </c>
      <c r="O293" s="12"/>
      <c r="P293" s="12"/>
      <c r="Q293" s="12"/>
      <c r="R293" s="12" t="s">
        <v>63</v>
      </c>
      <c r="S293" s="12"/>
    </row>
    <row r="294" spans="1:19" x14ac:dyDescent="0.25">
      <c r="A294" s="5" t="s">
        <v>632</v>
      </c>
      <c r="B294" s="5" t="s">
        <v>633</v>
      </c>
      <c r="C294" s="6">
        <v>18.3</v>
      </c>
      <c r="D294" s="6">
        <v>6.9</v>
      </c>
      <c r="E294" s="6">
        <v>2.1</v>
      </c>
      <c r="F294" s="6">
        <v>3.7999999999999999E-2</v>
      </c>
      <c r="G294" s="5"/>
      <c r="H294" s="7" t="s">
        <v>61</v>
      </c>
      <c r="I294" s="5" t="s">
        <v>62</v>
      </c>
      <c r="J294" s="5" t="str">
        <f>IF(COUNTIF(packages_master!$A:$A,A294)&gt;0,"Y","N")</f>
        <v>N</v>
      </c>
      <c r="K294" s="5" t="str">
        <f t="shared" si="24"/>
        <v/>
      </c>
      <c r="L294" s="5" t="str">
        <f t="shared" si="25"/>
        <v/>
      </c>
      <c r="M294" s="5" t="str">
        <f t="shared" si="26"/>
        <v>NORMAL</v>
      </c>
      <c r="N294" s="5" t="str">
        <f t="shared" si="27"/>
        <v/>
      </c>
      <c r="O294" s="12"/>
      <c r="P294" s="12"/>
      <c r="Q294" s="12"/>
      <c r="R294" s="12" t="s">
        <v>63</v>
      </c>
      <c r="S294" s="12"/>
    </row>
    <row r="295" spans="1:19" x14ac:dyDescent="0.25">
      <c r="A295" s="5" t="s">
        <v>634</v>
      </c>
      <c r="B295" s="5" t="s">
        <v>635</v>
      </c>
      <c r="C295" s="6">
        <v>18.3</v>
      </c>
      <c r="D295" s="6">
        <v>6.9</v>
      </c>
      <c r="E295" s="6">
        <v>2.1</v>
      </c>
      <c r="F295" s="6">
        <v>3.9E-2</v>
      </c>
      <c r="G295" s="5"/>
      <c r="H295" s="7" t="s">
        <v>61</v>
      </c>
      <c r="I295" s="5" t="s">
        <v>62</v>
      </c>
      <c r="J295" s="5" t="str">
        <f>IF(COUNTIF(packages_master!$A:$A,A295)&gt;0,"Y","N")</f>
        <v>N</v>
      </c>
      <c r="K295" s="5" t="str">
        <f t="shared" si="24"/>
        <v/>
      </c>
      <c r="L295" s="5" t="str">
        <f t="shared" si="25"/>
        <v/>
      </c>
      <c r="M295" s="5" t="str">
        <f t="shared" si="26"/>
        <v>NORMAL</v>
      </c>
      <c r="N295" s="5" t="str">
        <f t="shared" si="27"/>
        <v/>
      </c>
      <c r="O295" s="12"/>
      <c r="P295" s="12"/>
      <c r="Q295" s="12"/>
      <c r="R295" s="12" t="s">
        <v>63</v>
      </c>
      <c r="S295" s="12"/>
    </row>
    <row r="296" spans="1:19" x14ac:dyDescent="0.25">
      <c r="A296" s="5" t="s">
        <v>636</v>
      </c>
      <c r="B296" s="5" t="s">
        <v>637</v>
      </c>
      <c r="C296" s="6">
        <v>18.3</v>
      </c>
      <c r="D296" s="6">
        <v>6.9</v>
      </c>
      <c r="E296" s="6">
        <v>2.1</v>
      </c>
      <c r="F296" s="6">
        <v>3.9E-2</v>
      </c>
      <c r="G296" s="5"/>
      <c r="H296" s="7" t="s">
        <v>61</v>
      </c>
      <c r="I296" s="5" t="s">
        <v>62</v>
      </c>
      <c r="J296" s="5" t="str">
        <f>IF(COUNTIF(packages_master!$A:$A,A296)&gt;0,"Y","N")</f>
        <v>N</v>
      </c>
      <c r="K296" s="5" t="str">
        <f t="shared" si="24"/>
        <v/>
      </c>
      <c r="L296" s="5" t="str">
        <f t="shared" si="25"/>
        <v/>
      </c>
      <c r="M296" s="5" t="str">
        <f t="shared" si="26"/>
        <v>NORMAL</v>
      </c>
      <c r="N296" s="5" t="str">
        <f t="shared" si="27"/>
        <v/>
      </c>
      <c r="O296" s="12"/>
      <c r="P296" s="12"/>
      <c r="Q296" s="12"/>
      <c r="R296" s="12" t="s">
        <v>63</v>
      </c>
      <c r="S296" s="12"/>
    </row>
    <row r="297" spans="1:19" x14ac:dyDescent="0.25">
      <c r="A297" s="5" t="s">
        <v>638</v>
      </c>
      <c r="B297" s="5" t="s">
        <v>639</v>
      </c>
      <c r="C297" s="6">
        <v>18.3</v>
      </c>
      <c r="D297" s="6">
        <v>6.9</v>
      </c>
      <c r="E297" s="6">
        <v>2.1</v>
      </c>
      <c r="F297" s="6">
        <v>3.9E-2</v>
      </c>
      <c r="G297" s="5"/>
      <c r="H297" s="7" t="s">
        <v>61</v>
      </c>
      <c r="I297" s="5" t="s">
        <v>62</v>
      </c>
      <c r="J297" s="5" t="str">
        <f>IF(COUNTIF(packages_master!$A:$A,A297)&gt;0,"Y","N")</f>
        <v>N</v>
      </c>
      <c r="K297" s="5" t="str">
        <f t="shared" si="24"/>
        <v/>
      </c>
      <c r="L297" s="5" t="str">
        <f t="shared" si="25"/>
        <v/>
      </c>
      <c r="M297" s="5" t="str">
        <f t="shared" si="26"/>
        <v>NORMAL</v>
      </c>
      <c r="N297" s="5" t="str">
        <f t="shared" si="27"/>
        <v/>
      </c>
      <c r="O297" s="12"/>
      <c r="P297" s="12"/>
      <c r="Q297" s="12"/>
      <c r="R297" s="12" t="s">
        <v>63</v>
      </c>
      <c r="S297" s="12"/>
    </row>
    <row r="298" spans="1:19" x14ac:dyDescent="0.25">
      <c r="A298" s="5" t="s">
        <v>640</v>
      </c>
      <c r="B298" s="5" t="s">
        <v>641</v>
      </c>
      <c r="C298" s="6">
        <v>18.3</v>
      </c>
      <c r="D298" s="6">
        <v>6.9</v>
      </c>
      <c r="E298" s="6">
        <v>2.1</v>
      </c>
      <c r="F298" s="6">
        <v>3.9E-2</v>
      </c>
      <c r="G298" s="5"/>
      <c r="H298" s="7" t="s">
        <v>61</v>
      </c>
      <c r="I298" s="5" t="s">
        <v>62</v>
      </c>
      <c r="J298" s="5" t="str">
        <f>IF(COUNTIF(packages_master!$A:$A,A298)&gt;0,"Y","N")</f>
        <v>N</v>
      </c>
      <c r="K298" s="5" t="str">
        <f t="shared" si="24"/>
        <v/>
      </c>
      <c r="L298" s="5" t="str">
        <f t="shared" si="25"/>
        <v/>
      </c>
      <c r="M298" s="5" t="str">
        <f t="shared" si="26"/>
        <v>NORMAL</v>
      </c>
      <c r="N298" s="5" t="str">
        <f t="shared" si="27"/>
        <v/>
      </c>
      <c r="O298" s="12"/>
      <c r="P298" s="12"/>
      <c r="Q298" s="12"/>
      <c r="R298" s="12" t="s">
        <v>63</v>
      </c>
      <c r="S298" s="12"/>
    </row>
    <row r="299" spans="1:19" x14ac:dyDescent="0.25">
      <c r="A299" s="5" t="s">
        <v>642</v>
      </c>
      <c r="B299" s="5" t="s">
        <v>643</v>
      </c>
      <c r="C299" s="6">
        <v>18.3</v>
      </c>
      <c r="D299" s="6">
        <v>6.9</v>
      </c>
      <c r="E299" s="6">
        <v>2.1</v>
      </c>
      <c r="F299" s="6">
        <v>3.9E-2</v>
      </c>
      <c r="G299" s="5"/>
      <c r="H299" s="7" t="s">
        <v>61</v>
      </c>
      <c r="I299" s="5" t="s">
        <v>62</v>
      </c>
      <c r="J299" s="5" t="str">
        <f>IF(COUNTIF(packages_master!$A:$A,A299)&gt;0,"Y","N")</f>
        <v>N</v>
      </c>
      <c r="K299" s="5" t="str">
        <f t="shared" si="24"/>
        <v/>
      </c>
      <c r="L299" s="5" t="str">
        <f t="shared" si="25"/>
        <v/>
      </c>
      <c r="M299" s="5" t="str">
        <f t="shared" si="26"/>
        <v>NORMAL</v>
      </c>
      <c r="N299" s="5" t="str">
        <f t="shared" si="27"/>
        <v/>
      </c>
      <c r="O299" s="12"/>
      <c r="P299" s="12"/>
      <c r="Q299" s="12"/>
      <c r="R299" s="12" t="s">
        <v>63</v>
      </c>
      <c r="S299" s="12"/>
    </row>
    <row r="300" spans="1:19" x14ac:dyDescent="0.25">
      <c r="A300" s="5" t="s">
        <v>60</v>
      </c>
      <c r="B300" s="5" t="s">
        <v>644</v>
      </c>
      <c r="C300" s="6">
        <v>23.7</v>
      </c>
      <c r="D300" s="6">
        <v>6.6</v>
      </c>
      <c r="E300" s="8">
        <v>3</v>
      </c>
      <c r="F300" s="6">
        <v>8.2000000000000003E-2</v>
      </c>
      <c r="G300" s="5"/>
      <c r="H300" s="7" t="s">
        <v>61</v>
      </c>
      <c r="I300" s="5" t="s">
        <v>62</v>
      </c>
      <c r="J300" s="5" t="str">
        <f>IF(COUNTIF(packages_master!$A:$A,A300)&gt;0,"Y","N")</f>
        <v>N</v>
      </c>
      <c r="K300" s="5" t="str">
        <f t="shared" si="24"/>
        <v/>
      </c>
      <c r="L300" s="5" t="str">
        <f t="shared" si="25"/>
        <v/>
      </c>
      <c r="M300" s="5" t="str">
        <f t="shared" si="26"/>
        <v>NORMAL</v>
      </c>
      <c r="N300" s="5" t="str">
        <f t="shared" si="27"/>
        <v/>
      </c>
      <c r="O300" s="12"/>
      <c r="P300" s="12"/>
      <c r="Q300" s="12"/>
      <c r="R300" s="12" t="s">
        <v>63</v>
      </c>
      <c r="S300" s="12"/>
    </row>
    <row r="301" spans="1:19" x14ac:dyDescent="0.25">
      <c r="A301" s="5" t="s">
        <v>645</v>
      </c>
      <c r="B301" s="5" t="s">
        <v>646</v>
      </c>
      <c r="C301" s="6">
        <v>25.7</v>
      </c>
      <c r="D301" s="6">
        <v>15.6</v>
      </c>
      <c r="E301" s="6">
        <v>2.4</v>
      </c>
      <c r="F301" s="6">
        <v>0.23400000000000001</v>
      </c>
      <c r="G301" s="5"/>
      <c r="H301" s="7" t="s">
        <v>61</v>
      </c>
      <c r="I301" s="5" t="s">
        <v>62</v>
      </c>
      <c r="J301" s="5" t="str">
        <f>IF(COUNTIF(packages_master!$A:$A,A301)&gt;0,"Y","N")</f>
        <v>N</v>
      </c>
      <c r="K301" s="5" t="str">
        <f t="shared" si="24"/>
        <v/>
      </c>
      <c r="L301" s="5" t="str">
        <f t="shared" si="25"/>
        <v/>
      </c>
      <c r="M301" s="5" t="str">
        <f t="shared" si="26"/>
        <v>NORMAL</v>
      </c>
      <c r="N301" s="5" t="str">
        <f t="shared" si="27"/>
        <v/>
      </c>
      <c r="O301" s="12"/>
      <c r="P301" s="12"/>
      <c r="Q301" s="12"/>
      <c r="R301" s="12" t="s">
        <v>63</v>
      </c>
      <c r="S301" s="12"/>
    </row>
    <row r="302" spans="1:19" x14ac:dyDescent="0.25">
      <c r="A302" s="5" t="s">
        <v>647</v>
      </c>
      <c r="B302" s="5" t="s">
        <v>648</v>
      </c>
      <c r="C302" s="6">
        <v>20.399999999999999</v>
      </c>
      <c r="D302" s="6">
        <v>8.9</v>
      </c>
      <c r="E302" s="8">
        <v>2</v>
      </c>
      <c r="F302" s="6">
        <v>0.1</v>
      </c>
      <c r="G302" s="5"/>
      <c r="H302" s="7" t="s">
        <v>61</v>
      </c>
      <c r="I302" s="5" t="s">
        <v>62</v>
      </c>
      <c r="J302" s="5" t="str">
        <f>IF(COUNTIF(packages_master!$A:$A,A302)&gt;0,"Y","N")</f>
        <v>N</v>
      </c>
      <c r="K302" s="5" t="str">
        <f t="shared" si="24"/>
        <v/>
      </c>
      <c r="L302" s="5" t="str">
        <f t="shared" si="25"/>
        <v/>
      </c>
      <c r="M302" s="5" t="str">
        <f t="shared" si="26"/>
        <v>NORMAL</v>
      </c>
      <c r="N302" s="5" t="str">
        <f t="shared" si="27"/>
        <v/>
      </c>
      <c r="O302" s="12"/>
      <c r="P302" s="12"/>
      <c r="Q302" s="12"/>
      <c r="R302" s="12" t="s">
        <v>63</v>
      </c>
      <c r="S302" s="12"/>
    </row>
    <row r="303" spans="1:19" x14ac:dyDescent="0.25">
      <c r="A303" s="5" t="s">
        <v>649</v>
      </c>
      <c r="B303" s="5" t="s">
        <v>650</v>
      </c>
      <c r="C303" s="6">
        <v>20.399999999999999</v>
      </c>
      <c r="D303" s="6">
        <v>8.9</v>
      </c>
      <c r="E303" s="8">
        <v>2</v>
      </c>
      <c r="F303" s="6">
        <v>0.2</v>
      </c>
      <c r="G303" s="5"/>
      <c r="H303" s="7" t="s">
        <v>61</v>
      </c>
      <c r="I303" s="5" t="s">
        <v>62</v>
      </c>
      <c r="J303" s="5" t="str">
        <f>IF(COUNTIF(packages_master!$A:$A,A303)&gt;0,"Y","N")</f>
        <v>N</v>
      </c>
      <c r="K303" s="5" t="str">
        <f t="shared" si="24"/>
        <v/>
      </c>
      <c r="L303" s="5" t="str">
        <f t="shared" si="25"/>
        <v/>
      </c>
      <c r="M303" s="5" t="str">
        <f t="shared" si="26"/>
        <v>NORMAL</v>
      </c>
      <c r="N303" s="5" t="str">
        <f t="shared" si="27"/>
        <v/>
      </c>
      <c r="O303" s="12"/>
      <c r="P303" s="12"/>
      <c r="Q303" s="12"/>
      <c r="R303" s="12" t="s">
        <v>63</v>
      </c>
      <c r="S303" s="12"/>
    </row>
    <row r="304" spans="1:19" x14ac:dyDescent="0.25">
      <c r="A304" s="5" t="s">
        <v>651</v>
      </c>
      <c r="B304" s="5" t="s">
        <v>652</v>
      </c>
      <c r="C304" s="6">
        <v>1.85</v>
      </c>
      <c r="D304" s="6">
        <v>0.75</v>
      </c>
      <c r="E304" s="6">
        <v>0.69</v>
      </c>
      <c r="F304" s="6">
        <v>2.8000000000000001E-2</v>
      </c>
      <c r="G304" s="5"/>
      <c r="H304" s="7" t="s">
        <v>61</v>
      </c>
      <c r="I304" s="5" t="s">
        <v>62</v>
      </c>
      <c r="J304" s="5" t="str">
        <f>IF(COUNTIF(packages_master!$A:$A,A304)&gt;0,"Y","N")</f>
        <v>N</v>
      </c>
      <c r="K304" s="5" t="str">
        <f t="shared" si="24"/>
        <v/>
      </c>
      <c r="L304" s="5" t="str">
        <f t="shared" si="25"/>
        <v/>
      </c>
      <c r="M304" s="5" t="str">
        <f t="shared" si="26"/>
        <v>NORMAL</v>
      </c>
      <c r="N304" s="5" t="str">
        <f t="shared" si="27"/>
        <v/>
      </c>
      <c r="O304" s="12"/>
      <c r="P304" s="12"/>
      <c r="Q304" s="12"/>
      <c r="R304" s="12" t="s">
        <v>63</v>
      </c>
      <c r="S304" s="12"/>
    </row>
    <row r="305" spans="1:19" x14ac:dyDescent="0.25">
      <c r="A305" s="5" t="s">
        <v>653</v>
      </c>
      <c r="B305" s="5" t="s">
        <v>654</v>
      </c>
      <c r="C305" s="6">
        <v>8.9</v>
      </c>
      <c r="D305" s="6">
        <v>4.8</v>
      </c>
      <c r="E305" s="6">
        <v>4.8</v>
      </c>
      <c r="F305" s="6">
        <v>0.129</v>
      </c>
      <c r="G305" s="5" t="s">
        <v>336</v>
      </c>
      <c r="H305" s="7" t="s">
        <v>61</v>
      </c>
      <c r="I305" s="5" t="s">
        <v>62</v>
      </c>
      <c r="J305" s="5" t="str">
        <f>IF(COUNTIF(packages_master!$A:$A,A305)&gt;0,"Y","N")</f>
        <v>N</v>
      </c>
      <c r="K305" s="5" t="str">
        <f t="shared" si="24"/>
        <v>BX010</v>
      </c>
      <c r="L305" s="5">
        <f t="shared" si="25"/>
        <v>300</v>
      </c>
      <c r="M305" s="5" t="str">
        <f t="shared" si="26"/>
        <v>SPECIAL_300</v>
      </c>
      <c r="N305" s="5" t="str">
        <f t="shared" si="27"/>
        <v/>
      </c>
      <c r="O305" s="12">
        <v>100</v>
      </c>
      <c r="P305" s="12" t="s">
        <v>655</v>
      </c>
      <c r="Q305" s="12" t="s">
        <v>656</v>
      </c>
      <c r="R305" s="12" t="s">
        <v>61</v>
      </c>
      <c r="S305" s="12" t="s">
        <v>657</v>
      </c>
    </row>
    <row r="306" spans="1:19" x14ac:dyDescent="0.25">
      <c r="A306" s="5" t="s">
        <v>658</v>
      </c>
      <c r="B306" s="5" t="s">
        <v>659</v>
      </c>
      <c r="C306" s="8">
        <v>18</v>
      </c>
      <c r="D306" s="8">
        <v>8</v>
      </c>
      <c r="E306" s="6">
        <v>5.8</v>
      </c>
      <c r="F306" s="6">
        <v>0.20200000000000001</v>
      </c>
      <c r="G306" s="5" t="s">
        <v>336</v>
      </c>
      <c r="H306" s="7" t="s">
        <v>61</v>
      </c>
      <c r="I306" s="5" t="s">
        <v>62</v>
      </c>
      <c r="J306" s="5" t="str">
        <f>IF(COUNTIF(packages_master!$A:$A,A306)&gt;0,"Y","N")</f>
        <v>N</v>
      </c>
      <c r="K306" s="5" t="str">
        <f t="shared" si="24"/>
        <v>BX010</v>
      </c>
      <c r="L306" s="5">
        <f t="shared" si="25"/>
        <v>300</v>
      </c>
      <c r="M306" s="5" t="str">
        <f t="shared" si="26"/>
        <v>SPECIAL_300</v>
      </c>
      <c r="N306" s="5" t="str">
        <f t="shared" si="27"/>
        <v/>
      </c>
      <c r="O306" s="12">
        <v>36</v>
      </c>
      <c r="P306" s="12" t="s">
        <v>660</v>
      </c>
      <c r="Q306" s="12" t="s">
        <v>661</v>
      </c>
      <c r="R306" s="12" t="s">
        <v>61</v>
      </c>
      <c r="S306" s="12" t="s">
        <v>662</v>
      </c>
    </row>
    <row r="307" spans="1:19" x14ac:dyDescent="0.25">
      <c r="A307" s="5" t="s">
        <v>663</v>
      </c>
      <c r="B307" s="5" t="s">
        <v>664</v>
      </c>
      <c r="C307" s="6">
        <v>7.79</v>
      </c>
      <c r="D307" s="6">
        <v>4.33</v>
      </c>
      <c r="E307" s="6">
        <v>5.36</v>
      </c>
      <c r="F307" s="6">
        <v>4.2999999999999997E-2</v>
      </c>
      <c r="G307" s="5" t="s">
        <v>336</v>
      </c>
      <c r="H307" s="7" t="s">
        <v>61</v>
      </c>
      <c r="I307" s="5" t="s">
        <v>62</v>
      </c>
      <c r="J307" s="5" t="str">
        <f>IF(COUNTIF(packages_master!$A:$A,A307)&gt;0,"Y","N")</f>
        <v>N</v>
      </c>
      <c r="K307" s="5" t="str">
        <f t="shared" si="24"/>
        <v>BX010</v>
      </c>
      <c r="L307" s="5">
        <f t="shared" si="25"/>
        <v>300</v>
      </c>
      <c r="M307" s="5" t="str">
        <f t="shared" si="26"/>
        <v>SPECIAL_300</v>
      </c>
      <c r="N307" s="5" t="str">
        <f t="shared" si="27"/>
        <v/>
      </c>
      <c r="O307" s="12"/>
      <c r="P307" s="12"/>
      <c r="Q307" s="12"/>
      <c r="R307" s="12" t="s">
        <v>63</v>
      </c>
      <c r="S307" s="12"/>
    </row>
    <row r="308" spans="1:19" x14ac:dyDescent="0.25">
      <c r="A308" s="5" t="s">
        <v>665</v>
      </c>
      <c r="B308" s="5" t="s">
        <v>666</v>
      </c>
      <c r="C308" s="6">
        <v>19.899999999999999</v>
      </c>
      <c r="D308" s="6">
        <v>7.6</v>
      </c>
      <c r="E308" s="6">
        <v>2.5</v>
      </c>
      <c r="F308" s="6">
        <v>0.05</v>
      </c>
      <c r="G308" s="5" t="s">
        <v>336</v>
      </c>
      <c r="H308" s="7" t="s">
        <v>61</v>
      </c>
      <c r="I308" s="5" t="s">
        <v>62</v>
      </c>
      <c r="J308" s="5" t="str">
        <f>IF(COUNTIF(packages_master!$A:$A,A308)&gt;0,"Y","N")</f>
        <v>N</v>
      </c>
      <c r="K308" s="5" t="str">
        <f t="shared" si="24"/>
        <v>BX010</v>
      </c>
      <c r="L308" s="5">
        <f t="shared" si="25"/>
        <v>300</v>
      </c>
      <c r="M308" s="5" t="str">
        <f t="shared" si="26"/>
        <v>SPECIAL_300</v>
      </c>
      <c r="N308" s="5" t="str">
        <f t="shared" si="27"/>
        <v/>
      </c>
      <c r="O308" s="12">
        <v>60</v>
      </c>
      <c r="P308" s="12" t="s">
        <v>667</v>
      </c>
      <c r="Q308" s="12" t="s">
        <v>668</v>
      </c>
      <c r="R308" s="12" t="s">
        <v>61</v>
      </c>
      <c r="S308" s="12" t="s">
        <v>669</v>
      </c>
    </row>
    <row r="309" spans="1:19" x14ac:dyDescent="0.25">
      <c r="A309" s="5" t="s">
        <v>670</v>
      </c>
      <c r="B309" s="5" t="s">
        <v>671</v>
      </c>
      <c r="C309" s="6">
        <v>19.899999999999999</v>
      </c>
      <c r="D309" s="6">
        <v>6.8</v>
      </c>
      <c r="E309" s="6">
        <v>2.7</v>
      </c>
      <c r="F309" s="6">
        <v>4.2000000000000003E-2</v>
      </c>
      <c r="G309" s="5" t="s">
        <v>336</v>
      </c>
      <c r="H309" s="7" t="s">
        <v>61</v>
      </c>
      <c r="I309" s="5" t="s">
        <v>62</v>
      </c>
      <c r="J309" s="5" t="str">
        <f>IF(COUNTIF(packages_master!$A:$A,A309)&gt;0,"Y","N")</f>
        <v>N</v>
      </c>
      <c r="K309" s="5" t="str">
        <f t="shared" si="24"/>
        <v>BX010</v>
      </c>
      <c r="L309" s="5">
        <f t="shared" si="25"/>
        <v>300</v>
      </c>
      <c r="M309" s="5" t="str">
        <f t="shared" si="26"/>
        <v>SPECIAL_300</v>
      </c>
      <c r="N309" s="5" t="str">
        <f t="shared" si="27"/>
        <v/>
      </c>
      <c r="O309" s="12">
        <v>100</v>
      </c>
      <c r="P309" s="12" t="s">
        <v>672</v>
      </c>
      <c r="Q309" s="12" t="s">
        <v>673</v>
      </c>
      <c r="R309" s="12" t="s">
        <v>61</v>
      </c>
      <c r="S309" s="12" t="s">
        <v>674</v>
      </c>
    </row>
    <row r="310" spans="1:19" x14ac:dyDescent="0.25">
      <c r="A310" s="5" t="s">
        <v>675</v>
      </c>
      <c r="B310" s="5" t="s">
        <v>676</v>
      </c>
      <c r="C310" s="8">
        <v>18</v>
      </c>
      <c r="D310" s="8">
        <v>8</v>
      </c>
      <c r="E310" s="6">
        <v>5.9</v>
      </c>
      <c r="F310" s="6">
        <v>0.20499999999999999</v>
      </c>
      <c r="G310" s="5"/>
      <c r="H310" s="7" t="s">
        <v>61</v>
      </c>
      <c r="I310" s="5" t="s">
        <v>62</v>
      </c>
      <c r="J310" s="5" t="str">
        <f>IF(COUNTIF(packages_master!$A:$A,A310)&gt;0,"Y","N")</f>
        <v>N</v>
      </c>
      <c r="K310" s="5" t="str">
        <f t="shared" si="24"/>
        <v/>
      </c>
      <c r="L310" s="5" t="str">
        <f t="shared" si="25"/>
        <v/>
      </c>
      <c r="M310" s="5" t="str">
        <f t="shared" si="26"/>
        <v>NORMAL</v>
      </c>
      <c r="N310" s="5" t="str">
        <f t="shared" si="27"/>
        <v/>
      </c>
      <c r="O310" s="12">
        <v>36</v>
      </c>
      <c r="P310" s="12" t="s">
        <v>677</v>
      </c>
      <c r="Q310" s="12" t="s">
        <v>661</v>
      </c>
      <c r="R310" s="12" t="s">
        <v>61</v>
      </c>
      <c r="S310" s="12" t="s">
        <v>678</v>
      </c>
    </row>
    <row r="311" spans="1:19" x14ac:dyDescent="0.25">
      <c r="A311" s="5" t="s">
        <v>679</v>
      </c>
      <c r="B311" s="5" t="s">
        <v>680</v>
      </c>
      <c r="C311" s="8">
        <v>18</v>
      </c>
      <c r="D311" s="8">
        <v>8</v>
      </c>
      <c r="E311" s="6">
        <v>5.9</v>
      </c>
      <c r="F311" s="6">
        <v>0.20499999999999999</v>
      </c>
      <c r="G311" s="5"/>
      <c r="H311" s="7" t="s">
        <v>61</v>
      </c>
      <c r="I311" s="5" t="s">
        <v>62</v>
      </c>
      <c r="J311" s="5" t="str">
        <f>IF(COUNTIF(packages_master!$A:$A,A311)&gt;0,"Y","N")</f>
        <v>N</v>
      </c>
      <c r="K311" s="5" t="str">
        <f t="shared" si="24"/>
        <v/>
      </c>
      <c r="L311" s="5" t="str">
        <f t="shared" si="25"/>
        <v/>
      </c>
      <c r="M311" s="5" t="str">
        <f t="shared" si="26"/>
        <v>NORMAL</v>
      </c>
      <c r="N311" s="5" t="str">
        <f t="shared" si="27"/>
        <v/>
      </c>
      <c r="O311" s="12">
        <v>36</v>
      </c>
      <c r="P311" s="12" t="s">
        <v>681</v>
      </c>
      <c r="Q311" s="12" t="s">
        <v>682</v>
      </c>
      <c r="R311" s="12" t="s">
        <v>61</v>
      </c>
      <c r="S311" s="12" t="s">
        <v>683</v>
      </c>
    </row>
    <row r="312" spans="1:19" ht="30" x14ac:dyDescent="0.25">
      <c r="A312" s="5" t="s">
        <v>684</v>
      </c>
      <c r="B312" s="5" t="s">
        <v>685</v>
      </c>
      <c r="C312" s="6">
        <v>19.3</v>
      </c>
      <c r="D312" s="6">
        <v>7.4</v>
      </c>
      <c r="E312" s="6">
        <v>2.9</v>
      </c>
      <c r="F312" s="6">
        <v>5.0999999999999997E-2</v>
      </c>
      <c r="G312" s="5"/>
      <c r="H312" s="7" t="s">
        <v>61</v>
      </c>
      <c r="I312" s="5" t="s">
        <v>62</v>
      </c>
      <c r="J312" s="5" t="str">
        <f>IF(COUNTIF(packages_master!$A:$A,A312)&gt;0,"Y","N")</f>
        <v>N</v>
      </c>
      <c r="K312" s="5" t="str">
        <f t="shared" si="24"/>
        <v/>
      </c>
      <c r="L312" s="5" t="str">
        <f t="shared" si="25"/>
        <v/>
      </c>
      <c r="M312" s="5" t="str">
        <f t="shared" si="26"/>
        <v>NORMAL</v>
      </c>
      <c r="N312" s="5" t="str">
        <f t="shared" si="27"/>
        <v/>
      </c>
      <c r="O312" s="12">
        <v>100</v>
      </c>
      <c r="P312" s="12" t="s">
        <v>686</v>
      </c>
      <c r="Q312" s="12" t="s">
        <v>687</v>
      </c>
      <c r="R312" s="12" t="s">
        <v>61</v>
      </c>
      <c r="S312" s="12" t="s">
        <v>688</v>
      </c>
    </row>
    <row r="313" spans="1:19" ht="30" x14ac:dyDescent="0.25">
      <c r="A313" s="5" t="s">
        <v>689</v>
      </c>
      <c r="B313" s="5" t="s">
        <v>690</v>
      </c>
      <c r="C313" s="6">
        <v>19.3</v>
      </c>
      <c r="D313" s="6">
        <v>7.4</v>
      </c>
      <c r="E313" s="6">
        <v>2.9</v>
      </c>
      <c r="F313" s="6">
        <v>5.0999999999999997E-2</v>
      </c>
      <c r="G313" s="5"/>
      <c r="H313" s="7" t="s">
        <v>61</v>
      </c>
      <c r="I313" s="5" t="s">
        <v>62</v>
      </c>
      <c r="J313" s="5" t="str">
        <f>IF(COUNTIF(packages_master!$A:$A,A313)&gt;0,"Y","N")</f>
        <v>N</v>
      </c>
      <c r="K313" s="5" t="str">
        <f t="shared" si="24"/>
        <v/>
      </c>
      <c r="L313" s="5" t="str">
        <f t="shared" si="25"/>
        <v/>
      </c>
      <c r="M313" s="5" t="str">
        <f t="shared" si="26"/>
        <v>NORMAL</v>
      </c>
      <c r="N313" s="5" t="str">
        <f t="shared" si="27"/>
        <v/>
      </c>
      <c r="O313" s="12">
        <v>100</v>
      </c>
      <c r="P313" s="12" t="s">
        <v>686</v>
      </c>
      <c r="Q313" s="12" t="s">
        <v>687</v>
      </c>
      <c r="R313" s="12" t="s">
        <v>61</v>
      </c>
      <c r="S313" s="12" t="s">
        <v>688</v>
      </c>
    </row>
    <row r="314" spans="1:19" ht="30" x14ac:dyDescent="0.25">
      <c r="A314" s="5" t="s">
        <v>691</v>
      </c>
      <c r="B314" s="5" t="s">
        <v>692</v>
      </c>
      <c r="C314" s="6">
        <v>19.3</v>
      </c>
      <c r="D314" s="6">
        <v>7.4</v>
      </c>
      <c r="E314" s="6">
        <v>2.9</v>
      </c>
      <c r="F314" s="6">
        <v>5.0999999999999997E-2</v>
      </c>
      <c r="G314" s="5"/>
      <c r="H314" s="7" t="s">
        <v>61</v>
      </c>
      <c r="I314" s="5" t="s">
        <v>62</v>
      </c>
      <c r="J314" s="5" t="str">
        <f>IF(COUNTIF(packages_master!$A:$A,A314)&gt;0,"Y","N")</f>
        <v>N</v>
      </c>
      <c r="K314" s="5" t="str">
        <f t="shared" si="24"/>
        <v/>
      </c>
      <c r="L314" s="5" t="str">
        <f t="shared" si="25"/>
        <v/>
      </c>
      <c r="M314" s="5" t="str">
        <f t="shared" si="26"/>
        <v>NORMAL</v>
      </c>
      <c r="N314" s="5" t="str">
        <f t="shared" si="27"/>
        <v/>
      </c>
      <c r="O314" s="12">
        <v>100</v>
      </c>
      <c r="P314" s="12" t="s">
        <v>686</v>
      </c>
      <c r="Q314" s="12" t="s">
        <v>687</v>
      </c>
      <c r="R314" s="12" t="s">
        <v>61</v>
      </c>
      <c r="S314" s="12" t="s">
        <v>688</v>
      </c>
    </row>
    <row r="315" spans="1:19" ht="30" x14ac:dyDescent="0.25">
      <c r="A315" s="5" t="s">
        <v>693</v>
      </c>
      <c r="B315" s="5" t="s">
        <v>694</v>
      </c>
      <c r="C315" s="6">
        <v>19.3</v>
      </c>
      <c r="D315" s="6">
        <v>7.4</v>
      </c>
      <c r="E315" s="6">
        <v>2.9</v>
      </c>
      <c r="F315" s="6">
        <v>5.0999999999999997E-2</v>
      </c>
      <c r="G315" s="5"/>
      <c r="H315" s="7" t="s">
        <v>61</v>
      </c>
      <c r="I315" s="5" t="s">
        <v>62</v>
      </c>
      <c r="J315" s="5" t="str">
        <f>IF(COUNTIF(packages_master!$A:$A,A315)&gt;0,"Y","N")</f>
        <v>N</v>
      </c>
      <c r="K315" s="5" t="str">
        <f t="shared" si="24"/>
        <v/>
      </c>
      <c r="L315" s="5" t="str">
        <f t="shared" si="25"/>
        <v/>
      </c>
      <c r="M315" s="5" t="str">
        <f t="shared" si="26"/>
        <v>NORMAL</v>
      </c>
      <c r="N315" s="5" t="str">
        <f t="shared" si="27"/>
        <v/>
      </c>
      <c r="O315" s="12">
        <v>100</v>
      </c>
      <c r="P315" s="12" t="s">
        <v>686</v>
      </c>
      <c r="Q315" s="12" t="s">
        <v>687</v>
      </c>
      <c r="R315" s="12" t="s">
        <v>61</v>
      </c>
      <c r="S315" s="12" t="s">
        <v>688</v>
      </c>
    </row>
    <row r="316" spans="1:19" x14ac:dyDescent="0.25">
      <c r="A316" s="5" t="s">
        <v>695</v>
      </c>
      <c r="B316" s="5" t="s">
        <v>696</v>
      </c>
      <c r="C316" s="8">
        <v>10</v>
      </c>
      <c r="D316" s="8">
        <v>10</v>
      </c>
      <c r="E316" s="6">
        <v>11.2</v>
      </c>
      <c r="F316" s="6">
        <v>0.63100000000000001</v>
      </c>
      <c r="G316" s="5"/>
      <c r="H316" s="7" t="s">
        <v>61</v>
      </c>
      <c r="I316" s="5" t="s">
        <v>62</v>
      </c>
      <c r="J316" s="5" t="str">
        <f>IF(COUNTIF(packages_master!$A:$A,A316)&gt;0,"Y","N")</f>
        <v>N</v>
      </c>
      <c r="K316" s="5" t="str">
        <f t="shared" si="24"/>
        <v/>
      </c>
      <c r="L316" s="5" t="str">
        <f t="shared" si="25"/>
        <v/>
      </c>
      <c r="M316" s="5" t="str">
        <f t="shared" si="26"/>
        <v>NORMAL</v>
      </c>
      <c r="N316" s="5" t="str">
        <f t="shared" si="27"/>
        <v/>
      </c>
      <c r="O316" s="12">
        <v>20</v>
      </c>
      <c r="P316" s="12" t="s">
        <v>697</v>
      </c>
      <c r="Q316" s="12" t="s">
        <v>698</v>
      </c>
      <c r="R316" s="12" t="s">
        <v>61</v>
      </c>
      <c r="S316" s="12" t="s">
        <v>699</v>
      </c>
    </row>
    <row r="317" spans="1:19" x14ac:dyDescent="0.25">
      <c r="A317" s="5" t="s">
        <v>700</v>
      </c>
      <c r="B317" s="5" t="s">
        <v>701</v>
      </c>
      <c r="C317" s="6">
        <v>14.9</v>
      </c>
      <c r="D317" s="8">
        <v>12</v>
      </c>
      <c r="E317" s="6">
        <v>7.4</v>
      </c>
      <c r="F317" s="6">
        <v>0.34</v>
      </c>
      <c r="G317" s="5"/>
      <c r="H317" s="7" t="s">
        <v>61</v>
      </c>
      <c r="I317" s="5" t="s">
        <v>62</v>
      </c>
      <c r="J317" s="5" t="str">
        <f>IF(COUNTIF(packages_master!$A:$A,A317)&gt;0,"Y","N")</f>
        <v>N</v>
      </c>
      <c r="K317" s="5" t="str">
        <f t="shared" si="24"/>
        <v/>
      </c>
      <c r="L317" s="5" t="str">
        <f t="shared" si="25"/>
        <v/>
      </c>
      <c r="M317" s="5" t="str">
        <f t="shared" si="26"/>
        <v>NORMAL</v>
      </c>
      <c r="N317" s="5" t="str">
        <f t="shared" si="27"/>
        <v/>
      </c>
      <c r="O317" s="12"/>
      <c r="P317" s="12"/>
      <c r="Q317" s="12"/>
      <c r="R317" s="12" t="s">
        <v>63</v>
      </c>
      <c r="S317" s="12"/>
    </row>
    <row r="318" spans="1:19" x14ac:dyDescent="0.25">
      <c r="A318" s="5" t="s">
        <v>702</v>
      </c>
      <c r="B318" s="5" t="s">
        <v>703</v>
      </c>
      <c r="C318" s="6">
        <v>18.100000000000001</v>
      </c>
      <c r="D318" s="6">
        <v>7.4</v>
      </c>
      <c r="E318" s="6">
        <v>5.0999999999999996</v>
      </c>
      <c r="F318" s="6">
        <v>0.23300000000000001</v>
      </c>
      <c r="G318" s="5"/>
      <c r="H318" s="7" t="s">
        <v>61</v>
      </c>
      <c r="I318" s="5" t="s">
        <v>62</v>
      </c>
      <c r="J318" s="5" t="str">
        <f>IF(COUNTIF(packages_master!$A:$A,A318)&gt;0,"Y","N")</f>
        <v>N</v>
      </c>
      <c r="K318" s="5" t="str">
        <f t="shared" si="24"/>
        <v/>
      </c>
      <c r="L318" s="5" t="str">
        <f t="shared" si="25"/>
        <v/>
      </c>
      <c r="M318" s="5" t="str">
        <f t="shared" si="26"/>
        <v>NORMAL</v>
      </c>
      <c r="N318" s="5" t="str">
        <f t="shared" si="27"/>
        <v/>
      </c>
      <c r="O318" s="12"/>
      <c r="P318" s="12"/>
      <c r="Q318" s="12"/>
      <c r="R318" s="12" t="s">
        <v>63</v>
      </c>
      <c r="S318" s="12"/>
    </row>
    <row r="319" spans="1:19" x14ac:dyDescent="0.25">
      <c r="A319" s="5" t="s">
        <v>704</v>
      </c>
      <c r="B319" s="5" t="s">
        <v>705</v>
      </c>
      <c r="C319" s="6">
        <v>9.1</v>
      </c>
      <c r="D319" s="6">
        <v>9.1</v>
      </c>
      <c r="E319" s="6">
        <v>10.6</v>
      </c>
      <c r="F319" s="6">
        <v>0.56299999999999994</v>
      </c>
      <c r="G319" s="5"/>
      <c r="H319" s="7" t="s">
        <v>61</v>
      </c>
      <c r="I319" s="5" t="s">
        <v>62</v>
      </c>
      <c r="J319" s="5" t="str">
        <f>IF(COUNTIF(packages_master!$A:$A,A319)&gt;0,"Y","N")</f>
        <v>N</v>
      </c>
      <c r="K319" s="5" t="str">
        <f t="shared" si="24"/>
        <v/>
      </c>
      <c r="L319" s="5" t="str">
        <f t="shared" si="25"/>
        <v/>
      </c>
      <c r="M319" s="5" t="str">
        <f t="shared" si="26"/>
        <v>NORMAL</v>
      </c>
      <c r="N319" s="5" t="str">
        <f t="shared" si="27"/>
        <v/>
      </c>
      <c r="O319" s="12"/>
      <c r="P319" s="12"/>
      <c r="Q319" s="12"/>
      <c r="R319" s="12" t="s">
        <v>63</v>
      </c>
      <c r="S319" s="12"/>
    </row>
    <row r="320" spans="1:19" x14ac:dyDescent="0.25">
      <c r="A320" s="5" t="s">
        <v>706</v>
      </c>
      <c r="B320" s="5" t="s">
        <v>707</v>
      </c>
      <c r="C320" s="6">
        <v>19.7</v>
      </c>
      <c r="D320" s="6">
        <v>7.6</v>
      </c>
      <c r="E320" s="6">
        <v>5.3</v>
      </c>
      <c r="F320" s="6">
        <v>0.10299999999999999</v>
      </c>
      <c r="G320" s="5"/>
      <c r="H320" s="7" t="s">
        <v>61</v>
      </c>
      <c r="I320" s="5" t="s">
        <v>62</v>
      </c>
      <c r="J320" s="5" t="str">
        <f>IF(COUNTIF(packages_master!$A:$A,A320)&gt;0,"Y","N")</f>
        <v>N</v>
      </c>
      <c r="K320" s="5" t="str">
        <f t="shared" si="24"/>
        <v/>
      </c>
      <c r="L320" s="5" t="str">
        <f t="shared" si="25"/>
        <v/>
      </c>
      <c r="M320" s="5" t="str">
        <f t="shared" si="26"/>
        <v>NORMAL</v>
      </c>
      <c r="N320" s="5" t="str">
        <f t="shared" si="27"/>
        <v/>
      </c>
      <c r="O320" s="12"/>
      <c r="P320" s="12"/>
      <c r="Q320" s="12"/>
      <c r="R320" s="12" t="s">
        <v>63</v>
      </c>
      <c r="S320" s="12"/>
    </row>
    <row r="321" spans="1:19" x14ac:dyDescent="0.25">
      <c r="A321" s="5" t="s">
        <v>708</v>
      </c>
      <c r="B321" s="5" t="s">
        <v>709</v>
      </c>
      <c r="C321" s="6">
        <v>18.5</v>
      </c>
      <c r="D321" s="8">
        <v>7</v>
      </c>
      <c r="E321" s="6">
        <v>2.5</v>
      </c>
      <c r="F321" s="6">
        <v>4.8000000000000001E-2</v>
      </c>
      <c r="G321" s="5"/>
      <c r="H321" s="7" t="s">
        <v>61</v>
      </c>
      <c r="I321" s="5" t="s">
        <v>62</v>
      </c>
      <c r="J321" s="5" t="str">
        <f>IF(COUNTIF(packages_master!$A:$A,A321)&gt;0,"Y","N")</f>
        <v>N</v>
      </c>
      <c r="K321" s="5" t="str">
        <f t="shared" si="24"/>
        <v/>
      </c>
      <c r="L321" s="5" t="str">
        <f t="shared" si="25"/>
        <v/>
      </c>
      <c r="M321" s="5" t="str">
        <f t="shared" si="26"/>
        <v>NORMAL</v>
      </c>
      <c r="N321" s="5" t="str">
        <f t="shared" si="27"/>
        <v/>
      </c>
      <c r="O321" s="12"/>
      <c r="P321" s="12"/>
      <c r="Q321" s="12"/>
      <c r="R321" s="12" t="s">
        <v>63</v>
      </c>
      <c r="S321" s="12"/>
    </row>
    <row r="322" spans="1:19" x14ac:dyDescent="0.25">
      <c r="A322" s="5" t="s">
        <v>710</v>
      </c>
      <c r="B322" s="5" t="s">
        <v>711</v>
      </c>
      <c r="C322" s="6">
        <v>16.100000000000001</v>
      </c>
      <c r="D322" s="6">
        <v>7.8</v>
      </c>
      <c r="E322" s="6">
        <v>8.1</v>
      </c>
      <c r="F322" s="6">
        <v>0.25900000000000001</v>
      </c>
      <c r="G322" s="5"/>
      <c r="H322" s="7" t="s">
        <v>61</v>
      </c>
      <c r="I322" s="5" t="s">
        <v>62</v>
      </c>
      <c r="J322" s="5" t="str">
        <f>IF(COUNTIF(packages_master!$A:$A,A322)&gt;0,"Y","N")</f>
        <v>N</v>
      </c>
      <c r="K322" s="5" t="str">
        <f t="shared" si="24"/>
        <v/>
      </c>
      <c r="L322" s="5" t="str">
        <f t="shared" si="25"/>
        <v/>
      </c>
      <c r="M322" s="5" t="str">
        <f t="shared" si="26"/>
        <v>NORMAL</v>
      </c>
      <c r="N322" s="5" t="str">
        <f t="shared" si="27"/>
        <v/>
      </c>
      <c r="O322" s="12"/>
      <c r="P322" s="12"/>
      <c r="Q322" s="12"/>
      <c r="R322" s="12" t="s">
        <v>63</v>
      </c>
      <c r="S322" s="12"/>
    </row>
    <row r="323" spans="1:19" x14ac:dyDescent="0.25">
      <c r="A323" s="5" t="s">
        <v>712</v>
      </c>
      <c r="B323" s="5" t="s">
        <v>713</v>
      </c>
      <c r="C323" s="6">
        <v>6.4</v>
      </c>
      <c r="D323" s="6">
        <v>3.7</v>
      </c>
      <c r="E323" s="6">
        <v>3.1</v>
      </c>
      <c r="F323" s="6">
        <v>1.7999999999999999E-2</v>
      </c>
      <c r="G323" s="5"/>
      <c r="H323" s="7" t="s">
        <v>61</v>
      </c>
      <c r="I323" s="5" t="s">
        <v>62</v>
      </c>
      <c r="J323" s="5" t="str">
        <f>IF(COUNTIF(packages_master!$A:$A,A323)&gt;0,"Y","N")</f>
        <v>N</v>
      </c>
      <c r="K323" s="5" t="str">
        <f t="shared" si="24"/>
        <v/>
      </c>
      <c r="L323" s="5" t="str">
        <f t="shared" si="25"/>
        <v/>
      </c>
      <c r="M323" s="5" t="str">
        <f t="shared" si="26"/>
        <v>NORMAL</v>
      </c>
      <c r="N323" s="5" t="str">
        <f t="shared" si="27"/>
        <v/>
      </c>
      <c r="O323" s="12"/>
      <c r="P323" s="12"/>
      <c r="Q323" s="12"/>
      <c r="R323" s="12" t="s">
        <v>63</v>
      </c>
      <c r="S323" s="12"/>
    </row>
    <row r="324" spans="1:19" x14ac:dyDescent="0.25">
      <c r="A324" s="5" t="s">
        <v>714</v>
      </c>
      <c r="B324" s="5" t="s">
        <v>715</v>
      </c>
      <c r="C324" s="6">
        <v>10.1</v>
      </c>
      <c r="D324" s="6">
        <v>10.1</v>
      </c>
      <c r="E324" s="6">
        <v>6.6</v>
      </c>
      <c r="F324" s="6">
        <v>0.115</v>
      </c>
      <c r="G324" s="5"/>
      <c r="H324" s="7" t="s">
        <v>61</v>
      </c>
      <c r="I324" s="5" t="s">
        <v>62</v>
      </c>
      <c r="J324" s="5" t="str">
        <f>IF(COUNTIF(packages_master!$A:$A,A324)&gt;0,"Y","N")</f>
        <v>N</v>
      </c>
      <c r="K324" s="5" t="str">
        <f t="shared" si="24"/>
        <v/>
      </c>
      <c r="L324" s="5" t="str">
        <f t="shared" si="25"/>
        <v/>
      </c>
      <c r="M324" s="5" t="str">
        <f t="shared" si="26"/>
        <v>NORMAL</v>
      </c>
      <c r="N324" s="5" t="str">
        <f t="shared" si="27"/>
        <v/>
      </c>
      <c r="O324" s="12"/>
      <c r="P324" s="12"/>
      <c r="Q324" s="12"/>
      <c r="R324" s="12" t="s">
        <v>63</v>
      </c>
      <c r="S324" s="12"/>
    </row>
    <row r="325" spans="1:19" x14ac:dyDescent="0.25">
      <c r="A325" s="5" t="s">
        <v>716</v>
      </c>
      <c r="B325" s="5" t="s">
        <v>717</v>
      </c>
      <c r="C325" s="6">
        <v>17.3</v>
      </c>
      <c r="D325" s="8">
        <v>7</v>
      </c>
      <c r="E325" s="8">
        <v>3</v>
      </c>
      <c r="F325" s="6">
        <v>0.06</v>
      </c>
      <c r="G325" s="5"/>
      <c r="H325" s="7" t="s">
        <v>61</v>
      </c>
      <c r="I325" s="5" t="s">
        <v>62</v>
      </c>
      <c r="J325" s="5" t="str">
        <f>IF(COUNTIF(packages_master!$A:$A,A325)&gt;0,"Y","N")</f>
        <v>N</v>
      </c>
      <c r="K325" s="5" t="str">
        <f t="shared" si="24"/>
        <v/>
      </c>
      <c r="L325" s="5" t="str">
        <f t="shared" si="25"/>
        <v/>
      </c>
      <c r="M325" s="5" t="str">
        <f t="shared" si="26"/>
        <v>NORMAL</v>
      </c>
      <c r="N325" s="5" t="str">
        <f t="shared" si="27"/>
        <v/>
      </c>
      <c r="O325" s="12"/>
      <c r="P325" s="12"/>
      <c r="Q325" s="12"/>
      <c r="R325" s="12" t="s">
        <v>63</v>
      </c>
      <c r="S325" s="12"/>
    </row>
    <row r="326" spans="1:19" x14ac:dyDescent="0.25">
      <c r="A326" s="5" t="s">
        <v>718</v>
      </c>
      <c r="B326" s="5" t="s">
        <v>719</v>
      </c>
      <c r="C326" s="6">
        <v>17.3</v>
      </c>
      <c r="D326" s="8">
        <v>7</v>
      </c>
      <c r="E326" s="8">
        <v>3</v>
      </c>
      <c r="F326" s="6">
        <v>0.06</v>
      </c>
      <c r="G326" s="5"/>
      <c r="H326" s="7" t="s">
        <v>61</v>
      </c>
      <c r="I326" s="5" t="s">
        <v>62</v>
      </c>
      <c r="J326" s="5" t="str">
        <f>IF(COUNTIF(packages_master!$A:$A,A326)&gt;0,"Y","N")</f>
        <v>N</v>
      </c>
      <c r="K326" s="5" t="str">
        <f t="shared" si="24"/>
        <v/>
      </c>
      <c r="L326" s="5" t="str">
        <f t="shared" si="25"/>
        <v/>
      </c>
      <c r="M326" s="5" t="str">
        <f t="shared" si="26"/>
        <v>NORMAL</v>
      </c>
      <c r="N326" s="5" t="str">
        <f t="shared" si="27"/>
        <v/>
      </c>
      <c r="O326" s="12"/>
      <c r="P326" s="12"/>
      <c r="Q326" s="12"/>
      <c r="R326" s="12" t="s">
        <v>63</v>
      </c>
      <c r="S326" s="12"/>
    </row>
    <row r="327" spans="1:19" x14ac:dyDescent="0.25">
      <c r="A327" s="5" t="s">
        <v>720</v>
      </c>
      <c r="B327" s="5" t="s">
        <v>721</v>
      </c>
      <c r="C327" s="6">
        <v>18.3</v>
      </c>
      <c r="D327" s="8">
        <v>9</v>
      </c>
      <c r="E327" s="8">
        <v>5</v>
      </c>
      <c r="F327" s="6">
        <v>0.24399999999999999</v>
      </c>
      <c r="G327" s="5"/>
      <c r="H327" s="7" t="s">
        <v>61</v>
      </c>
      <c r="I327" s="5" t="s">
        <v>62</v>
      </c>
      <c r="J327" s="5" t="str">
        <f>IF(COUNTIF(packages_master!$A:$A,A327)&gt;0,"Y","N")</f>
        <v>N</v>
      </c>
      <c r="K327" s="5" t="str">
        <f t="shared" si="24"/>
        <v/>
      </c>
      <c r="L327" s="5" t="str">
        <f t="shared" si="25"/>
        <v/>
      </c>
      <c r="M327" s="5" t="str">
        <f t="shared" si="26"/>
        <v>NORMAL</v>
      </c>
      <c r="N327" s="5" t="str">
        <f t="shared" si="27"/>
        <v/>
      </c>
      <c r="O327" s="12"/>
      <c r="P327" s="12"/>
      <c r="Q327" s="12"/>
      <c r="R327" s="12" t="s">
        <v>63</v>
      </c>
      <c r="S327" s="12"/>
    </row>
    <row r="328" spans="1:19" ht="30" x14ac:dyDescent="0.25">
      <c r="A328" s="5" t="s">
        <v>722</v>
      </c>
      <c r="B328" s="5" t="s">
        <v>723</v>
      </c>
      <c r="C328" s="6">
        <v>7.2</v>
      </c>
      <c r="D328" s="6">
        <v>4.9000000000000004</v>
      </c>
      <c r="E328" s="6">
        <v>3.7</v>
      </c>
      <c r="F328" s="6">
        <v>2.5999999999999999E-2</v>
      </c>
      <c r="G328" s="5"/>
      <c r="H328" s="7" t="s">
        <v>61</v>
      </c>
      <c r="I328" s="5" t="s">
        <v>62</v>
      </c>
      <c r="J328" s="5" t="str">
        <f>IF(COUNTIF(packages_master!$A:$A,A328)&gt;0,"Y","N")</f>
        <v>Y</v>
      </c>
      <c r="K328" s="5" t="str">
        <f t="shared" si="24"/>
        <v/>
      </c>
      <c r="L328" s="5" t="str">
        <f t="shared" si="25"/>
        <v/>
      </c>
      <c r="M328" s="5" t="str">
        <f t="shared" si="26"/>
        <v>PACKAGE_SEALED</v>
      </c>
      <c r="N328" s="5" t="str">
        <f t="shared" si="27"/>
        <v>packages_master</v>
      </c>
      <c r="O328" s="12">
        <v>200</v>
      </c>
      <c r="P328" s="12" t="s">
        <v>724</v>
      </c>
      <c r="Q328" s="12" t="s">
        <v>99</v>
      </c>
      <c r="R328" s="12" t="s">
        <v>61</v>
      </c>
      <c r="S328" s="12" t="s">
        <v>725</v>
      </c>
    </row>
    <row r="329" spans="1:19" ht="30" x14ac:dyDescent="0.25">
      <c r="A329" s="5" t="s">
        <v>722</v>
      </c>
      <c r="B329" s="5" t="s">
        <v>723</v>
      </c>
      <c r="C329" s="6">
        <v>7.2</v>
      </c>
      <c r="D329" s="6">
        <v>4.9000000000000004</v>
      </c>
      <c r="E329" s="6">
        <v>3.7</v>
      </c>
      <c r="F329" s="6">
        <v>2.7E-2</v>
      </c>
      <c r="G329" s="5"/>
      <c r="H329" s="7" t="s">
        <v>61</v>
      </c>
      <c r="I329" s="5" t="s">
        <v>62</v>
      </c>
      <c r="J329" s="5" t="str">
        <f>IF(COUNTIF(packages_master!$A:$A,A329)&gt;0,"Y","N")</f>
        <v>Y</v>
      </c>
      <c r="K329" s="5" t="str">
        <f t="shared" si="24"/>
        <v/>
      </c>
      <c r="L329" s="5" t="str">
        <f t="shared" si="25"/>
        <v/>
      </c>
      <c r="M329" s="5" t="str">
        <f t="shared" si="26"/>
        <v>PACKAGE_SEALED</v>
      </c>
      <c r="N329" s="5" t="str">
        <f t="shared" si="27"/>
        <v>packages_master</v>
      </c>
      <c r="O329" s="12">
        <v>200</v>
      </c>
      <c r="P329" s="12" t="s">
        <v>724</v>
      </c>
      <c r="Q329" s="12" t="s">
        <v>99</v>
      </c>
      <c r="R329" s="12" t="s">
        <v>61</v>
      </c>
      <c r="S329" s="12" t="s">
        <v>725</v>
      </c>
    </row>
    <row r="330" spans="1:19" ht="30" x14ac:dyDescent="0.25">
      <c r="A330" s="5" t="s">
        <v>726</v>
      </c>
      <c r="B330" s="5" t="s">
        <v>727</v>
      </c>
      <c r="C330" s="6">
        <v>19.3</v>
      </c>
      <c r="D330" s="6">
        <v>7.4</v>
      </c>
      <c r="E330" s="6">
        <v>5.0999999999999996</v>
      </c>
      <c r="F330" s="6">
        <v>8.5999999999999993E-2</v>
      </c>
      <c r="G330" s="5" t="s">
        <v>184</v>
      </c>
      <c r="H330" s="7" t="s">
        <v>61</v>
      </c>
      <c r="I330" s="5" t="s">
        <v>62</v>
      </c>
      <c r="J330" s="5" t="str">
        <f>IF(COUNTIF(packages_master!$A:$A,A330)&gt;0,"Y","N")</f>
        <v>N</v>
      </c>
      <c r="K330" s="5" t="str">
        <f t="shared" ref="K330:K393" si="28">IF(G330&lt;&gt;"","BX010","")</f>
        <v>BX010</v>
      </c>
      <c r="L330" s="5">
        <f t="shared" ref="L330:L393" si="29">IF(G330&lt;&gt;"",300,"")</f>
        <v>300</v>
      </c>
      <c r="M330" s="5" t="str">
        <f t="shared" ref="M330:M393" si="30">IF(J330="Y","PACKAGE_SEALED",IF(G330&lt;&gt;"","SPECIAL_300","NORMAL"))</f>
        <v>SPECIAL_300</v>
      </c>
      <c r="N330" s="5" t="str">
        <f t="shared" ref="N330:N393" si="31">IF(J330="Y","packages_master","")</f>
        <v/>
      </c>
      <c r="O330" s="12">
        <v>50</v>
      </c>
      <c r="P330" s="12" t="s">
        <v>728</v>
      </c>
      <c r="Q330" s="12" t="s">
        <v>729</v>
      </c>
      <c r="R330" s="12" t="s">
        <v>61</v>
      </c>
      <c r="S330" s="12" t="s">
        <v>730</v>
      </c>
    </row>
    <row r="331" spans="1:19" x14ac:dyDescent="0.25">
      <c r="A331" s="5" t="s">
        <v>731</v>
      </c>
      <c r="B331" s="5" t="s">
        <v>732</v>
      </c>
      <c r="C331" s="6">
        <v>22.8</v>
      </c>
      <c r="D331" s="6">
        <v>9.9</v>
      </c>
      <c r="E331" s="6">
        <v>5.4</v>
      </c>
      <c r="F331" s="6">
        <v>0.252</v>
      </c>
      <c r="G331" s="5" t="s">
        <v>184</v>
      </c>
      <c r="H331" s="7" t="s">
        <v>61</v>
      </c>
      <c r="I331" s="5" t="s">
        <v>62</v>
      </c>
      <c r="J331" s="5" t="str">
        <f>IF(COUNTIF(packages_master!$A:$A,A331)&gt;0,"Y","N")</f>
        <v>N</v>
      </c>
      <c r="K331" s="5" t="str">
        <f t="shared" si="28"/>
        <v>BX010</v>
      </c>
      <c r="L331" s="5">
        <f t="shared" si="29"/>
        <v>300</v>
      </c>
      <c r="M331" s="5" t="str">
        <f t="shared" si="30"/>
        <v>SPECIAL_300</v>
      </c>
      <c r="N331" s="5" t="str">
        <f t="shared" si="31"/>
        <v/>
      </c>
      <c r="O331" s="12">
        <v>33</v>
      </c>
      <c r="P331" s="12" t="s">
        <v>733</v>
      </c>
      <c r="Q331" s="12" t="s">
        <v>734</v>
      </c>
      <c r="R331" s="12" t="s">
        <v>61</v>
      </c>
      <c r="S331" s="12" t="s">
        <v>735</v>
      </c>
    </row>
    <row r="332" spans="1:19" x14ac:dyDescent="0.25">
      <c r="A332" s="5" t="s">
        <v>736</v>
      </c>
      <c r="B332" s="5" t="s">
        <v>737</v>
      </c>
      <c r="C332" s="6">
        <v>6.4</v>
      </c>
      <c r="D332" s="6">
        <v>3.6</v>
      </c>
      <c r="E332" s="6">
        <v>3.5</v>
      </c>
      <c r="F332" s="6">
        <v>2.1999999999999999E-2</v>
      </c>
      <c r="G332" s="5" t="s">
        <v>184</v>
      </c>
      <c r="H332" s="7" t="s">
        <v>61</v>
      </c>
      <c r="I332" s="5" t="s">
        <v>62</v>
      </c>
      <c r="J332" s="5" t="str">
        <f>IF(COUNTIF(packages_master!$A:$A,A332)&gt;0,"Y","N")</f>
        <v>N</v>
      </c>
      <c r="K332" s="5" t="str">
        <f t="shared" si="28"/>
        <v>BX010</v>
      </c>
      <c r="L332" s="5">
        <f t="shared" si="29"/>
        <v>300</v>
      </c>
      <c r="M332" s="5" t="str">
        <f t="shared" si="30"/>
        <v>SPECIAL_300</v>
      </c>
      <c r="N332" s="5" t="str">
        <f t="shared" si="31"/>
        <v/>
      </c>
      <c r="O332" s="12">
        <v>400</v>
      </c>
      <c r="P332" s="12" t="s">
        <v>738</v>
      </c>
      <c r="Q332" s="12" t="s">
        <v>739</v>
      </c>
      <c r="R332" s="12" t="s">
        <v>61</v>
      </c>
      <c r="S332" s="12" t="s">
        <v>740</v>
      </c>
    </row>
    <row r="333" spans="1:19" x14ac:dyDescent="0.25">
      <c r="A333" s="5" t="s">
        <v>741</v>
      </c>
      <c r="B333" s="5" t="s">
        <v>742</v>
      </c>
      <c r="C333" s="6">
        <v>22.5</v>
      </c>
      <c r="D333" s="6">
        <v>13.7</v>
      </c>
      <c r="E333" s="6">
        <v>4.7</v>
      </c>
      <c r="F333" s="6">
        <v>0.40799999999999997</v>
      </c>
      <c r="G333" s="5" t="s">
        <v>184</v>
      </c>
      <c r="H333" s="7" t="s">
        <v>61</v>
      </c>
      <c r="I333" s="5" t="s">
        <v>62</v>
      </c>
      <c r="J333" s="5" t="str">
        <f>IF(COUNTIF(packages_master!$A:$A,A333)&gt;0,"Y","N")</f>
        <v>N</v>
      </c>
      <c r="K333" s="5" t="str">
        <f t="shared" si="28"/>
        <v>BX010</v>
      </c>
      <c r="L333" s="5">
        <f t="shared" si="29"/>
        <v>300</v>
      </c>
      <c r="M333" s="5" t="str">
        <f t="shared" si="30"/>
        <v>SPECIAL_300</v>
      </c>
      <c r="N333" s="5" t="str">
        <f t="shared" si="31"/>
        <v/>
      </c>
      <c r="O333" s="12">
        <v>25</v>
      </c>
      <c r="P333" s="12" t="s">
        <v>743</v>
      </c>
      <c r="Q333" s="12" t="s">
        <v>739</v>
      </c>
      <c r="R333" s="12" t="s">
        <v>61</v>
      </c>
      <c r="S333" s="12" t="s">
        <v>744</v>
      </c>
    </row>
    <row r="334" spans="1:19" x14ac:dyDescent="0.25">
      <c r="A334" s="5" t="s">
        <v>745</v>
      </c>
      <c r="B334" s="5" t="s">
        <v>746</v>
      </c>
      <c r="C334" s="6">
        <v>19.3</v>
      </c>
      <c r="D334" s="6">
        <v>7.4</v>
      </c>
      <c r="E334" s="6">
        <v>2.9</v>
      </c>
      <c r="F334" s="6">
        <v>5.1999999999999998E-2</v>
      </c>
      <c r="G334" s="5" t="s">
        <v>184</v>
      </c>
      <c r="H334" s="7" t="s">
        <v>61</v>
      </c>
      <c r="I334" s="5" t="s">
        <v>62</v>
      </c>
      <c r="J334" s="5" t="str">
        <f>IF(COUNTIF(packages_master!$A:$A,A334)&gt;0,"Y","N")</f>
        <v>N</v>
      </c>
      <c r="K334" s="5" t="str">
        <f t="shared" si="28"/>
        <v>BX010</v>
      </c>
      <c r="L334" s="5">
        <f t="shared" si="29"/>
        <v>300</v>
      </c>
      <c r="M334" s="5" t="str">
        <f t="shared" si="30"/>
        <v>SPECIAL_300</v>
      </c>
      <c r="N334" s="5" t="str">
        <f t="shared" si="31"/>
        <v/>
      </c>
      <c r="O334" s="12">
        <v>100</v>
      </c>
      <c r="P334" s="12" t="s">
        <v>747</v>
      </c>
      <c r="Q334" s="12" t="s">
        <v>739</v>
      </c>
      <c r="R334" s="12" t="s">
        <v>61</v>
      </c>
      <c r="S334" s="12" t="s">
        <v>748</v>
      </c>
    </row>
    <row r="335" spans="1:19" x14ac:dyDescent="0.25">
      <c r="A335" s="5" t="s">
        <v>749</v>
      </c>
      <c r="B335" s="5" t="s">
        <v>750</v>
      </c>
      <c r="C335" s="6">
        <v>19.2</v>
      </c>
      <c r="D335" s="6">
        <v>7.3</v>
      </c>
      <c r="E335" s="6">
        <v>2.8</v>
      </c>
      <c r="F335" s="6">
        <v>5.0999999999999997E-2</v>
      </c>
      <c r="G335" s="5" t="s">
        <v>184</v>
      </c>
      <c r="H335" s="7" t="s">
        <v>61</v>
      </c>
      <c r="I335" s="5" t="s">
        <v>62</v>
      </c>
      <c r="J335" s="5" t="str">
        <f>IF(COUNTIF(packages_master!$A:$A,A335)&gt;0,"Y","N")</f>
        <v>N</v>
      </c>
      <c r="K335" s="5" t="str">
        <f t="shared" si="28"/>
        <v>BX010</v>
      </c>
      <c r="L335" s="5">
        <f t="shared" si="29"/>
        <v>300</v>
      </c>
      <c r="M335" s="5" t="str">
        <f t="shared" si="30"/>
        <v>SPECIAL_300</v>
      </c>
      <c r="N335" s="5" t="str">
        <f t="shared" si="31"/>
        <v/>
      </c>
      <c r="O335" s="12">
        <v>100</v>
      </c>
      <c r="P335" s="12" t="s">
        <v>751</v>
      </c>
      <c r="Q335" s="12" t="s">
        <v>739</v>
      </c>
      <c r="R335" s="12" t="s">
        <v>61</v>
      </c>
      <c r="S335" s="12" t="s">
        <v>752</v>
      </c>
    </row>
    <row r="336" spans="1:19" x14ac:dyDescent="0.25">
      <c r="A336" s="5" t="s">
        <v>753</v>
      </c>
      <c r="B336" s="5" t="s">
        <v>754</v>
      </c>
      <c r="C336" s="6">
        <v>19.7</v>
      </c>
      <c r="D336" s="6">
        <v>12.5</v>
      </c>
      <c r="E336" s="6">
        <v>4.0999999999999996</v>
      </c>
      <c r="F336" s="6">
        <v>0.247</v>
      </c>
      <c r="G336" s="5"/>
      <c r="H336" s="7" t="s">
        <v>61</v>
      </c>
      <c r="I336" s="5" t="s">
        <v>62</v>
      </c>
      <c r="J336" s="5" t="str">
        <f>IF(COUNTIF(packages_master!$A:$A,A336)&gt;0,"Y","N")</f>
        <v>N</v>
      </c>
      <c r="K336" s="5" t="str">
        <f t="shared" si="28"/>
        <v/>
      </c>
      <c r="L336" s="5" t="str">
        <f t="shared" si="29"/>
        <v/>
      </c>
      <c r="M336" s="5" t="str">
        <f t="shared" si="30"/>
        <v>NORMAL</v>
      </c>
      <c r="N336" s="5" t="str">
        <f t="shared" si="31"/>
        <v/>
      </c>
      <c r="O336" s="12"/>
      <c r="P336" s="12"/>
      <c r="Q336" s="12"/>
      <c r="R336" s="12" t="s">
        <v>63</v>
      </c>
      <c r="S336" s="12"/>
    </row>
    <row r="337" spans="1:19" x14ac:dyDescent="0.25">
      <c r="A337" s="5" t="s">
        <v>755</v>
      </c>
      <c r="B337" s="5" t="s">
        <v>756</v>
      </c>
      <c r="C337" s="6">
        <v>7.1</v>
      </c>
      <c r="D337" s="6">
        <v>4.8</v>
      </c>
      <c r="E337" s="6">
        <v>3.6</v>
      </c>
      <c r="F337" s="6">
        <v>2.5999999999999999E-2</v>
      </c>
      <c r="G337" s="5"/>
      <c r="H337" s="7" t="s">
        <v>61</v>
      </c>
      <c r="I337" s="5" t="s">
        <v>62</v>
      </c>
      <c r="J337" s="5" t="str">
        <f>IF(COUNTIF(packages_master!$A:$A,A337)&gt;0,"Y","N")</f>
        <v>N</v>
      </c>
      <c r="K337" s="5" t="str">
        <f t="shared" si="28"/>
        <v/>
      </c>
      <c r="L337" s="5" t="str">
        <f t="shared" si="29"/>
        <v/>
      </c>
      <c r="M337" s="5" t="str">
        <f t="shared" si="30"/>
        <v>NORMAL</v>
      </c>
      <c r="N337" s="5" t="str">
        <f t="shared" si="31"/>
        <v/>
      </c>
      <c r="O337" s="12"/>
      <c r="P337" s="12"/>
      <c r="Q337" s="12"/>
      <c r="R337" s="12" t="s">
        <v>63</v>
      </c>
      <c r="S337" s="12"/>
    </row>
    <row r="338" spans="1:19" x14ac:dyDescent="0.25">
      <c r="A338" s="5" t="s">
        <v>757</v>
      </c>
      <c r="B338" s="5" t="s">
        <v>758</v>
      </c>
      <c r="C338" s="6">
        <v>24.5</v>
      </c>
      <c r="D338" s="6">
        <v>16.600000000000001</v>
      </c>
      <c r="E338" s="6">
        <v>7.2</v>
      </c>
      <c r="F338" s="6">
        <v>0.27100000000000002</v>
      </c>
      <c r="G338" s="5"/>
      <c r="H338" s="7" t="s">
        <v>61</v>
      </c>
      <c r="I338" s="5" t="s">
        <v>62</v>
      </c>
      <c r="J338" s="5" t="str">
        <f>IF(COUNTIF(packages_master!$A:$A,A338)&gt;0,"Y","N")</f>
        <v>N</v>
      </c>
      <c r="K338" s="5" t="str">
        <f t="shared" si="28"/>
        <v/>
      </c>
      <c r="L338" s="5" t="str">
        <f t="shared" si="29"/>
        <v/>
      </c>
      <c r="M338" s="5" t="str">
        <f t="shared" si="30"/>
        <v>NORMAL</v>
      </c>
      <c r="N338" s="5" t="str">
        <f t="shared" si="31"/>
        <v/>
      </c>
      <c r="O338" s="12"/>
      <c r="P338" s="12"/>
      <c r="Q338" s="12"/>
      <c r="R338" s="12" t="s">
        <v>63</v>
      </c>
      <c r="S338" s="12"/>
    </row>
    <row r="339" spans="1:19" x14ac:dyDescent="0.25">
      <c r="A339" s="5" t="s">
        <v>759</v>
      </c>
      <c r="B339" s="5" t="s">
        <v>760</v>
      </c>
      <c r="C339" s="6">
        <v>9.3000000000000007</v>
      </c>
      <c r="D339" s="6">
        <v>9.3000000000000007</v>
      </c>
      <c r="E339" s="6">
        <v>10.7</v>
      </c>
      <c r="F339" s="6">
        <v>0.55900000000000005</v>
      </c>
      <c r="G339" s="5"/>
      <c r="H339" s="7" t="s">
        <v>61</v>
      </c>
      <c r="I339" s="5" t="s">
        <v>62</v>
      </c>
      <c r="J339" s="5" t="str">
        <f>IF(COUNTIF(packages_master!$A:$A,A339)&gt;0,"Y","N")</f>
        <v>N</v>
      </c>
      <c r="K339" s="5" t="str">
        <f t="shared" si="28"/>
        <v/>
      </c>
      <c r="L339" s="5" t="str">
        <f t="shared" si="29"/>
        <v/>
      </c>
      <c r="M339" s="5" t="str">
        <f t="shared" si="30"/>
        <v>NORMAL</v>
      </c>
      <c r="N339" s="5" t="str">
        <f t="shared" si="31"/>
        <v/>
      </c>
      <c r="O339" s="12"/>
      <c r="P339" s="12"/>
      <c r="Q339" s="12"/>
      <c r="R339" s="12" t="s">
        <v>63</v>
      </c>
      <c r="S339" s="12"/>
    </row>
    <row r="340" spans="1:19" x14ac:dyDescent="0.25">
      <c r="A340" s="5" t="s">
        <v>761</v>
      </c>
      <c r="B340" s="5" t="s">
        <v>762</v>
      </c>
      <c r="C340" s="6">
        <v>7.2</v>
      </c>
      <c r="D340" s="6">
        <v>4.9000000000000004</v>
      </c>
      <c r="E340" s="6">
        <v>3.7</v>
      </c>
      <c r="F340" s="6">
        <v>2.5000000000000001E-2</v>
      </c>
      <c r="G340" s="5"/>
      <c r="H340" s="7" t="s">
        <v>61</v>
      </c>
      <c r="I340" s="5" t="s">
        <v>62</v>
      </c>
      <c r="J340" s="5" t="str">
        <f>IF(COUNTIF(packages_master!$A:$A,A340)&gt;0,"Y","N")</f>
        <v>N</v>
      </c>
      <c r="K340" s="5" t="str">
        <f t="shared" si="28"/>
        <v/>
      </c>
      <c r="L340" s="5" t="str">
        <f t="shared" si="29"/>
        <v/>
      </c>
      <c r="M340" s="5" t="str">
        <f t="shared" si="30"/>
        <v>NORMAL</v>
      </c>
      <c r="N340" s="5" t="str">
        <f t="shared" si="31"/>
        <v/>
      </c>
      <c r="O340" s="12"/>
      <c r="P340" s="12"/>
      <c r="Q340" s="12"/>
      <c r="R340" s="12" t="s">
        <v>63</v>
      </c>
      <c r="S340" s="12"/>
    </row>
    <row r="341" spans="1:19" x14ac:dyDescent="0.25">
      <c r="A341" s="5" t="s">
        <v>763</v>
      </c>
      <c r="B341" s="5" t="s">
        <v>764</v>
      </c>
      <c r="C341" s="6">
        <v>19.2</v>
      </c>
      <c r="D341" s="6">
        <v>7.6</v>
      </c>
      <c r="E341" s="6">
        <v>6.9</v>
      </c>
      <c r="F341" s="6">
        <v>0.11</v>
      </c>
      <c r="G341" s="5"/>
      <c r="H341" s="7" t="s">
        <v>61</v>
      </c>
      <c r="I341" s="5" t="s">
        <v>62</v>
      </c>
      <c r="J341" s="5" t="str">
        <f>IF(COUNTIF(packages_master!$A:$A,A341)&gt;0,"Y","N")</f>
        <v>N</v>
      </c>
      <c r="K341" s="5" t="str">
        <f t="shared" si="28"/>
        <v/>
      </c>
      <c r="L341" s="5" t="str">
        <f t="shared" si="29"/>
        <v/>
      </c>
      <c r="M341" s="5" t="str">
        <f t="shared" si="30"/>
        <v>NORMAL</v>
      </c>
      <c r="N341" s="5" t="str">
        <f t="shared" si="31"/>
        <v/>
      </c>
      <c r="O341" s="12"/>
      <c r="P341" s="12"/>
      <c r="Q341" s="12"/>
      <c r="R341" s="12" t="s">
        <v>63</v>
      </c>
      <c r="S341" s="12"/>
    </row>
    <row r="342" spans="1:19" x14ac:dyDescent="0.25">
      <c r="A342" s="5" t="s">
        <v>765</v>
      </c>
      <c r="B342" s="5" t="s">
        <v>766</v>
      </c>
      <c r="C342" s="6">
        <v>6.5</v>
      </c>
      <c r="D342" s="6">
        <v>3.7</v>
      </c>
      <c r="E342" s="6">
        <v>3.5</v>
      </c>
      <c r="F342" s="6">
        <v>2.4E-2</v>
      </c>
      <c r="G342" s="5"/>
      <c r="H342" s="7" t="s">
        <v>61</v>
      </c>
      <c r="I342" s="5" t="s">
        <v>62</v>
      </c>
      <c r="J342" s="5" t="str">
        <f>IF(COUNTIF(packages_master!$A:$A,A342)&gt;0,"Y","N")</f>
        <v>N</v>
      </c>
      <c r="K342" s="5" t="str">
        <f t="shared" si="28"/>
        <v/>
      </c>
      <c r="L342" s="5" t="str">
        <f t="shared" si="29"/>
        <v/>
      </c>
      <c r="M342" s="5" t="str">
        <f t="shared" si="30"/>
        <v>NORMAL</v>
      </c>
      <c r="N342" s="5" t="str">
        <f t="shared" si="31"/>
        <v/>
      </c>
      <c r="O342" s="12"/>
      <c r="P342" s="12"/>
      <c r="Q342" s="12"/>
      <c r="R342" s="12" t="s">
        <v>63</v>
      </c>
      <c r="S342" s="12"/>
    </row>
    <row r="343" spans="1:19" x14ac:dyDescent="0.25">
      <c r="A343" s="5" t="s">
        <v>767</v>
      </c>
      <c r="B343" s="5" t="s">
        <v>768</v>
      </c>
      <c r="C343" s="6">
        <v>4.7699999999999996</v>
      </c>
      <c r="D343" s="6">
        <v>4.84</v>
      </c>
      <c r="E343" s="6">
        <v>8.99</v>
      </c>
      <c r="F343" s="6">
        <v>0.13100000000000001</v>
      </c>
      <c r="G343" s="5"/>
      <c r="H343" s="7" t="s">
        <v>61</v>
      </c>
      <c r="I343" s="5" t="s">
        <v>62</v>
      </c>
      <c r="J343" s="5" t="str">
        <f>IF(COUNTIF(packages_master!$A:$A,A343)&gt;0,"Y","N")</f>
        <v>N</v>
      </c>
      <c r="K343" s="5" t="str">
        <f t="shared" si="28"/>
        <v/>
      </c>
      <c r="L343" s="5" t="str">
        <f t="shared" si="29"/>
        <v/>
      </c>
      <c r="M343" s="5" t="str">
        <f t="shared" si="30"/>
        <v>NORMAL</v>
      </c>
      <c r="N343" s="5" t="str">
        <f t="shared" si="31"/>
        <v/>
      </c>
      <c r="O343" s="12"/>
      <c r="P343" s="12"/>
      <c r="Q343" s="12"/>
      <c r="R343" s="12" t="s">
        <v>63</v>
      </c>
      <c r="S343" s="12"/>
    </row>
    <row r="344" spans="1:19" x14ac:dyDescent="0.25">
      <c r="A344" s="5" t="s">
        <v>769</v>
      </c>
      <c r="B344" s="5" t="s">
        <v>770</v>
      </c>
      <c r="C344" s="6">
        <v>7.2</v>
      </c>
      <c r="D344" s="6">
        <v>4.9000000000000004</v>
      </c>
      <c r="E344" s="6">
        <v>3.7</v>
      </c>
      <c r="F344" s="6">
        <v>2.5999999999999999E-2</v>
      </c>
      <c r="G344" s="5"/>
      <c r="H344" s="7" t="s">
        <v>61</v>
      </c>
      <c r="I344" s="5" t="s">
        <v>62</v>
      </c>
      <c r="J344" s="5" t="str">
        <f>IF(COUNTIF(packages_master!$A:$A,A344)&gt;0,"Y","N")</f>
        <v>N</v>
      </c>
      <c r="K344" s="5" t="str">
        <f t="shared" si="28"/>
        <v/>
      </c>
      <c r="L344" s="5" t="str">
        <f t="shared" si="29"/>
        <v/>
      </c>
      <c r="M344" s="5" t="str">
        <f t="shared" si="30"/>
        <v>NORMAL</v>
      </c>
      <c r="N344" s="5" t="str">
        <f t="shared" si="31"/>
        <v/>
      </c>
      <c r="O344" s="12"/>
      <c r="P344" s="12"/>
      <c r="Q344" s="12"/>
      <c r="R344" s="12" t="s">
        <v>63</v>
      </c>
      <c r="S344" s="12"/>
    </row>
    <row r="345" spans="1:19" x14ac:dyDescent="0.25">
      <c r="A345" s="5" t="s">
        <v>771</v>
      </c>
      <c r="B345" s="5" t="s">
        <v>772</v>
      </c>
      <c r="C345" s="6">
        <v>19.2</v>
      </c>
      <c r="D345" s="8">
        <v>7</v>
      </c>
      <c r="E345" s="6">
        <v>6.6</v>
      </c>
      <c r="F345" s="6">
        <v>0.13100000000000001</v>
      </c>
      <c r="G345" s="5"/>
      <c r="H345" s="7" t="s">
        <v>61</v>
      </c>
      <c r="I345" s="5" t="s">
        <v>62</v>
      </c>
      <c r="J345" s="5" t="str">
        <f>IF(COUNTIF(packages_master!$A:$A,A345)&gt;0,"Y","N")</f>
        <v>N</v>
      </c>
      <c r="K345" s="5" t="str">
        <f t="shared" si="28"/>
        <v/>
      </c>
      <c r="L345" s="5" t="str">
        <f t="shared" si="29"/>
        <v/>
      </c>
      <c r="M345" s="5" t="str">
        <f t="shared" si="30"/>
        <v>NORMAL</v>
      </c>
      <c r="N345" s="5" t="str">
        <f t="shared" si="31"/>
        <v/>
      </c>
      <c r="O345" s="12"/>
      <c r="P345" s="12"/>
      <c r="Q345" s="12"/>
      <c r="R345" s="12" t="s">
        <v>63</v>
      </c>
      <c r="S345" s="12"/>
    </row>
    <row r="346" spans="1:19" x14ac:dyDescent="0.25">
      <c r="A346" s="5" t="s">
        <v>773</v>
      </c>
      <c r="B346" s="5" t="s">
        <v>774</v>
      </c>
      <c r="C346" s="6">
        <v>11.9</v>
      </c>
      <c r="D346" s="6">
        <v>6.7</v>
      </c>
      <c r="E346" s="6">
        <v>4.2</v>
      </c>
      <c r="F346" s="6">
        <v>0.112</v>
      </c>
      <c r="G346" s="5"/>
      <c r="H346" s="7" t="s">
        <v>61</v>
      </c>
      <c r="I346" s="5" t="s">
        <v>62</v>
      </c>
      <c r="J346" s="5" t="str">
        <f>IF(COUNTIF(packages_master!$A:$A,A346)&gt;0,"Y","N")</f>
        <v>N</v>
      </c>
      <c r="K346" s="5" t="str">
        <f t="shared" si="28"/>
        <v/>
      </c>
      <c r="L346" s="5" t="str">
        <f t="shared" si="29"/>
        <v/>
      </c>
      <c r="M346" s="5" t="str">
        <f t="shared" si="30"/>
        <v>NORMAL</v>
      </c>
      <c r="N346" s="5" t="str">
        <f t="shared" si="31"/>
        <v/>
      </c>
      <c r="O346" s="12"/>
      <c r="P346" s="12"/>
      <c r="Q346" s="12"/>
      <c r="R346" s="12" t="s">
        <v>63</v>
      </c>
      <c r="S346" s="12"/>
    </row>
    <row r="347" spans="1:19" x14ac:dyDescent="0.25">
      <c r="A347" s="5" t="s">
        <v>775</v>
      </c>
      <c r="B347" s="5" t="s">
        <v>776</v>
      </c>
      <c r="C347" s="6">
        <v>20.3</v>
      </c>
      <c r="D347" s="6">
        <v>5.8</v>
      </c>
      <c r="E347" s="6">
        <v>5.7</v>
      </c>
      <c r="F347" s="6">
        <v>0.254</v>
      </c>
      <c r="G347" s="5"/>
      <c r="H347" s="7" t="s">
        <v>61</v>
      </c>
      <c r="I347" s="5" t="s">
        <v>62</v>
      </c>
      <c r="J347" s="5" t="str">
        <f>IF(COUNTIF(packages_master!$A:$A,A347)&gt;0,"Y","N")</f>
        <v>N</v>
      </c>
      <c r="K347" s="5" t="str">
        <f t="shared" si="28"/>
        <v/>
      </c>
      <c r="L347" s="5" t="str">
        <f t="shared" si="29"/>
        <v/>
      </c>
      <c r="M347" s="5" t="str">
        <f t="shared" si="30"/>
        <v>NORMAL</v>
      </c>
      <c r="N347" s="5" t="str">
        <f t="shared" si="31"/>
        <v/>
      </c>
      <c r="O347" s="12"/>
      <c r="P347" s="12"/>
      <c r="Q347" s="12"/>
      <c r="R347" s="12" t="s">
        <v>63</v>
      </c>
      <c r="S347" s="12"/>
    </row>
    <row r="348" spans="1:19" ht="30" x14ac:dyDescent="0.25">
      <c r="A348" s="5" t="s">
        <v>777</v>
      </c>
      <c r="B348" s="5" t="s">
        <v>778</v>
      </c>
      <c r="C348" s="6">
        <v>23.9</v>
      </c>
      <c r="D348" s="8">
        <v>9</v>
      </c>
      <c r="E348" s="6">
        <v>5.6</v>
      </c>
      <c r="F348" s="6">
        <v>0.13</v>
      </c>
      <c r="G348" s="5"/>
      <c r="H348" s="7" t="s">
        <v>61</v>
      </c>
      <c r="I348" s="5" t="s">
        <v>62</v>
      </c>
      <c r="J348" s="5" t="str">
        <f>IF(COUNTIF(packages_master!$A:$A,A348)&gt;0,"Y","N")</f>
        <v>N</v>
      </c>
      <c r="K348" s="5" t="str">
        <f t="shared" si="28"/>
        <v/>
      </c>
      <c r="L348" s="5" t="str">
        <f t="shared" si="29"/>
        <v/>
      </c>
      <c r="M348" s="5" t="str">
        <f t="shared" si="30"/>
        <v>NORMAL</v>
      </c>
      <c r="N348" s="5" t="str">
        <f t="shared" si="31"/>
        <v/>
      </c>
      <c r="O348" s="12">
        <v>50</v>
      </c>
      <c r="P348" s="12" t="s">
        <v>779</v>
      </c>
      <c r="Q348" s="12" t="s">
        <v>780</v>
      </c>
      <c r="R348" s="12" t="s">
        <v>61</v>
      </c>
      <c r="S348" s="12" t="s">
        <v>781</v>
      </c>
    </row>
    <row r="349" spans="1:19" x14ac:dyDescent="0.25">
      <c r="A349" s="5" t="s">
        <v>782</v>
      </c>
      <c r="B349" s="5" t="s">
        <v>783</v>
      </c>
      <c r="C349" s="6">
        <v>23.4</v>
      </c>
      <c r="D349" s="8">
        <v>9</v>
      </c>
      <c r="E349" s="6">
        <v>5.6</v>
      </c>
      <c r="F349" s="6">
        <v>0.13600000000000001</v>
      </c>
      <c r="G349" s="5"/>
      <c r="H349" s="7" t="s">
        <v>61</v>
      </c>
      <c r="I349" s="5" t="s">
        <v>62</v>
      </c>
      <c r="J349" s="5" t="str">
        <f>IF(COUNTIF(packages_master!$A:$A,A349)&gt;0,"Y","N")</f>
        <v>N</v>
      </c>
      <c r="K349" s="5" t="str">
        <f t="shared" si="28"/>
        <v/>
      </c>
      <c r="L349" s="5" t="str">
        <f t="shared" si="29"/>
        <v/>
      </c>
      <c r="M349" s="5" t="str">
        <f t="shared" si="30"/>
        <v>NORMAL</v>
      </c>
      <c r="N349" s="5" t="str">
        <f t="shared" si="31"/>
        <v/>
      </c>
      <c r="O349" s="12">
        <v>50</v>
      </c>
      <c r="P349" s="12" t="s">
        <v>784</v>
      </c>
      <c r="Q349" s="12" t="s">
        <v>785</v>
      </c>
      <c r="R349" s="12" t="s">
        <v>61</v>
      </c>
      <c r="S349" s="12" t="s">
        <v>786</v>
      </c>
    </row>
    <row r="350" spans="1:19" x14ac:dyDescent="0.25">
      <c r="A350" s="5" t="s">
        <v>787</v>
      </c>
      <c r="B350" s="5" t="s">
        <v>788</v>
      </c>
      <c r="C350" s="6">
        <v>16.8</v>
      </c>
      <c r="D350" s="8">
        <v>8</v>
      </c>
      <c r="E350" s="6">
        <v>7.2</v>
      </c>
      <c r="F350" s="6">
        <v>0.26200000000000001</v>
      </c>
      <c r="G350" s="5"/>
      <c r="H350" s="7" t="s">
        <v>61</v>
      </c>
      <c r="I350" s="5" t="s">
        <v>62</v>
      </c>
      <c r="J350" s="5" t="str">
        <f>IF(COUNTIF(packages_master!$A:$A,A350)&gt;0,"Y","N")</f>
        <v>N</v>
      </c>
      <c r="K350" s="5" t="str">
        <f t="shared" si="28"/>
        <v/>
      </c>
      <c r="L350" s="5" t="str">
        <f t="shared" si="29"/>
        <v/>
      </c>
      <c r="M350" s="5" t="str">
        <f t="shared" si="30"/>
        <v>NORMAL</v>
      </c>
      <c r="N350" s="5" t="str">
        <f t="shared" si="31"/>
        <v/>
      </c>
      <c r="O350" s="12"/>
      <c r="P350" s="12"/>
      <c r="Q350" s="12"/>
      <c r="R350" s="12" t="s">
        <v>63</v>
      </c>
      <c r="S350" s="12"/>
    </row>
    <row r="351" spans="1:19" x14ac:dyDescent="0.25">
      <c r="A351" s="5" t="s">
        <v>658</v>
      </c>
      <c r="B351" s="5" t="s">
        <v>659</v>
      </c>
      <c r="C351" s="8">
        <v>18</v>
      </c>
      <c r="D351" s="8">
        <v>8</v>
      </c>
      <c r="E351" s="6">
        <v>5.8</v>
      </c>
      <c r="F351" s="6">
        <v>0.20200000000000001</v>
      </c>
      <c r="G351" s="5" t="s">
        <v>336</v>
      </c>
      <c r="H351" s="7" t="s">
        <v>61</v>
      </c>
      <c r="I351" s="5" t="s">
        <v>62</v>
      </c>
      <c r="J351" s="5" t="str">
        <f>IF(COUNTIF(packages_master!$A:$A,A351)&gt;0,"Y","N")</f>
        <v>N</v>
      </c>
      <c r="K351" s="5" t="str">
        <f t="shared" si="28"/>
        <v>BX010</v>
      </c>
      <c r="L351" s="5">
        <f t="shared" si="29"/>
        <v>300</v>
      </c>
      <c r="M351" s="5" t="str">
        <f t="shared" si="30"/>
        <v>SPECIAL_300</v>
      </c>
      <c r="N351" s="5" t="str">
        <f t="shared" si="31"/>
        <v/>
      </c>
      <c r="O351" s="12">
        <v>36</v>
      </c>
      <c r="P351" s="12" t="s">
        <v>660</v>
      </c>
      <c r="Q351" s="12" t="s">
        <v>661</v>
      </c>
      <c r="R351" s="12" t="s">
        <v>61</v>
      </c>
      <c r="S351" s="12" t="s">
        <v>662</v>
      </c>
    </row>
    <row r="352" spans="1:19" x14ac:dyDescent="0.25">
      <c r="A352" s="5" t="s">
        <v>789</v>
      </c>
      <c r="B352" s="5" t="s">
        <v>790</v>
      </c>
      <c r="C352" s="6">
        <v>7.2</v>
      </c>
      <c r="D352" s="6">
        <v>4.8</v>
      </c>
      <c r="E352" s="6">
        <v>3.7</v>
      </c>
      <c r="F352" s="6">
        <v>2.5999999999999999E-2</v>
      </c>
      <c r="G352" s="5" t="s">
        <v>336</v>
      </c>
      <c r="H352" s="7" t="s">
        <v>61</v>
      </c>
      <c r="I352" s="5" t="s">
        <v>62</v>
      </c>
      <c r="J352" s="5" t="str">
        <f>IF(COUNTIF(packages_master!$A:$A,A352)&gt;0,"Y","N")</f>
        <v>Y</v>
      </c>
      <c r="K352" s="5" t="str">
        <f t="shared" si="28"/>
        <v>BX010</v>
      </c>
      <c r="L352" s="5">
        <f t="shared" si="29"/>
        <v>300</v>
      </c>
      <c r="M352" s="5" t="str">
        <f t="shared" si="30"/>
        <v>PACKAGE_SEALED</v>
      </c>
      <c r="N352" s="5" t="str">
        <f t="shared" si="31"/>
        <v>packages_master</v>
      </c>
      <c r="O352" s="12"/>
      <c r="P352" s="12"/>
      <c r="Q352" s="12"/>
      <c r="R352" s="12" t="s">
        <v>63</v>
      </c>
      <c r="S352" s="12"/>
    </row>
    <row r="353" spans="1:19" x14ac:dyDescent="0.25">
      <c r="A353" s="5" t="s">
        <v>791</v>
      </c>
      <c r="B353" s="5" t="s">
        <v>792</v>
      </c>
      <c r="C353" s="6">
        <v>7.2</v>
      </c>
      <c r="D353" s="6">
        <v>4.8</v>
      </c>
      <c r="E353" s="6">
        <v>3.7</v>
      </c>
      <c r="F353" s="6">
        <v>2.5999999999999999E-2</v>
      </c>
      <c r="G353" s="5" t="s">
        <v>336</v>
      </c>
      <c r="H353" s="7" t="s">
        <v>61</v>
      </c>
      <c r="I353" s="5" t="s">
        <v>62</v>
      </c>
      <c r="J353" s="5" t="str">
        <f>IF(COUNTIF(packages_master!$A:$A,A353)&gt;0,"Y","N")</f>
        <v>Y</v>
      </c>
      <c r="K353" s="5" t="str">
        <f t="shared" si="28"/>
        <v>BX010</v>
      </c>
      <c r="L353" s="5">
        <f t="shared" si="29"/>
        <v>300</v>
      </c>
      <c r="M353" s="5" t="str">
        <f t="shared" si="30"/>
        <v>PACKAGE_SEALED</v>
      </c>
      <c r="N353" s="5" t="str">
        <f t="shared" si="31"/>
        <v>packages_master</v>
      </c>
      <c r="O353" s="12"/>
      <c r="P353" s="12"/>
      <c r="Q353" s="12"/>
      <c r="R353" s="12" t="s">
        <v>63</v>
      </c>
      <c r="S353" s="12"/>
    </row>
    <row r="354" spans="1:19" x14ac:dyDescent="0.25">
      <c r="A354" s="5" t="s">
        <v>793</v>
      </c>
      <c r="B354" s="5" t="s">
        <v>794</v>
      </c>
      <c r="C354" s="8">
        <v>26</v>
      </c>
      <c r="D354" s="6">
        <v>18.100000000000001</v>
      </c>
      <c r="E354" s="6">
        <v>2.2999999999999998</v>
      </c>
      <c r="F354" s="6">
        <v>0.22</v>
      </c>
      <c r="G354" s="5" t="s">
        <v>336</v>
      </c>
      <c r="H354" s="7" t="s">
        <v>61</v>
      </c>
      <c r="I354" s="5" t="s">
        <v>62</v>
      </c>
      <c r="J354" s="5" t="str">
        <f>IF(COUNTIF(packages_master!$A:$A,A354)&gt;0,"Y","N")</f>
        <v>N</v>
      </c>
      <c r="K354" s="5" t="str">
        <f t="shared" si="28"/>
        <v>BX010</v>
      </c>
      <c r="L354" s="5">
        <f t="shared" si="29"/>
        <v>300</v>
      </c>
      <c r="M354" s="5" t="str">
        <f t="shared" si="30"/>
        <v>SPECIAL_300</v>
      </c>
      <c r="N354" s="5" t="str">
        <f t="shared" si="31"/>
        <v/>
      </c>
      <c r="O354" s="12"/>
      <c r="P354" s="12"/>
      <c r="Q354" s="12"/>
      <c r="R354" s="12" t="s">
        <v>63</v>
      </c>
      <c r="S354" s="12"/>
    </row>
    <row r="355" spans="1:19" x14ac:dyDescent="0.25">
      <c r="A355" s="5" t="s">
        <v>653</v>
      </c>
      <c r="B355" s="5" t="s">
        <v>654</v>
      </c>
      <c r="C355" s="6">
        <v>8.9</v>
      </c>
      <c r="D355" s="6">
        <v>4.8</v>
      </c>
      <c r="E355" s="6">
        <v>4.8</v>
      </c>
      <c r="F355" s="6">
        <v>0.129</v>
      </c>
      <c r="G355" s="5" t="s">
        <v>336</v>
      </c>
      <c r="H355" s="7" t="s">
        <v>61</v>
      </c>
      <c r="I355" s="5" t="s">
        <v>62</v>
      </c>
      <c r="J355" s="5" t="str">
        <f>IF(COUNTIF(packages_master!$A:$A,A355)&gt;0,"Y","N")</f>
        <v>N</v>
      </c>
      <c r="K355" s="5" t="str">
        <f t="shared" si="28"/>
        <v>BX010</v>
      </c>
      <c r="L355" s="5">
        <f t="shared" si="29"/>
        <v>300</v>
      </c>
      <c r="M355" s="5" t="str">
        <f t="shared" si="30"/>
        <v>SPECIAL_300</v>
      </c>
      <c r="N355" s="5" t="str">
        <f t="shared" si="31"/>
        <v/>
      </c>
      <c r="O355" s="12">
        <v>100</v>
      </c>
      <c r="P355" s="12" t="s">
        <v>655</v>
      </c>
      <c r="Q355" s="12" t="s">
        <v>656</v>
      </c>
      <c r="R355" s="12" t="s">
        <v>61</v>
      </c>
      <c r="S355" s="12" t="s">
        <v>657</v>
      </c>
    </row>
    <row r="356" spans="1:19" x14ac:dyDescent="0.25">
      <c r="A356" s="5" t="s">
        <v>795</v>
      </c>
      <c r="B356" s="5" t="s">
        <v>796</v>
      </c>
      <c r="C356" s="6">
        <v>19.3</v>
      </c>
      <c r="D356" s="6">
        <v>7.3</v>
      </c>
      <c r="E356" s="6">
        <v>2.8</v>
      </c>
      <c r="F356" s="6">
        <v>5.0999999999999997E-2</v>
      </c>
      <c r="G356" s="5" t="s">
        <v>336</v>
      </c>
      <c r="H356" s="7" t="s">
        <v>61</v>
      </c>
      <c r="I356" s="5" t="s">
        <v>62</v>
      </c>
      <c r="J356" s="5" t="str">
        <f>IF(COUNTIF(packages_master!$A:$A,A356)&gt;0,"Y","N")</f>
        <v>N</v>
      </c>
      <c r="K356" s="5" t="str">
        <f t="shared" si="28"/>
        <v>BX010</v>
      </c>
      <c r="L356" s="5">
        <f t="shared" si="29"/>
        <v>300</v>
      </c>
      <c r="M356" s="5" t="str">
        <f t="shared" si="30"/>
        <v>SPECIAL_300</v>
      </c>
      <c r="N356" s="5" t="str">
        <f t="shared" si="31"/>
        <v/>
      </c>
      <c r="O356" s="12"/>
      <c r="P356" s="12"/>
      <c r="Q356" s="12"/>
      <c r="R356" s="12" t="s">
        <v>63</v>
      </c>
      <c r="S356" s="12"/>
    </row>
    <row r="357" spans="1:19" ht="30" x14ac:dyDescent="0.25">
      <c r="A357" s="5" t="s">
        <v>797</v>
      </c>
      <c r="B357" s="5" t="s">
        <v>798</v>
      </c>
      <c r="C357" s="6">
        <v>18.399999999999999</v>
      </c>
      <c r="D357" s="8">
        <v>7</v>
      </c>
      <c r="E357" s="6">
        <v>2.1</v>
      </c>
      <c r="F357" s="6">
        <v>3.6999999999999998E-2</v>
      </c>
      <c r="G357" s="5" t="s">
        <v>336</v>
      </c>
      <c r="H357" s="7" t="s">
        <v>61</v>
      </c>
      <c r="I357" s="5" t="s">
        <v>62</v>
      </c>
      <c r="J357" s="5" t="str">
        <f>IF(COUNTIF(packages_master!$A:$A,A357)&gt;0,"Y","N")</f>
        <v>N</v>
      </c>
      <c r="K357" s="5" t="str">
        <f t="shared" si="28"/>
        <v>BX010</v>
      </c>
      <c r="L357" s="5">
        <f t="shared" si="29"/>
        <v>300</v>
      </c>
      <c r="M357" s="5" t="str">
        <f t="shared" si="30"/>
        <v>SPECIAL_300</v>
      </c>
      <c r="N357" s="5" t="str">
        <f t="shared" si="31"/>
        <v/>
      </c>
      <c r="O357" s="12">
        <v>100</v>
      </c>
      <c r="P357" s="12" t="s">
        <v>799</v>
      </c>
      <c r="Q357" s="12" t="s">
        <v>800</v>
      </c>
      <c r="R357" s="12" t="s">
        <v>61</v>
      </c>
      <c r="S357" s="12" t="s">
        <v>801</v>
      </c>
    </row>
    <row r="358" spans="1:19" ht="30" x14ac:dyDescent="0.25">
      <c r="A358" s="5" t="s">
        <v>802</v>
      </c>
      <c r="B358" s="5" t="s">
        <v>803</v>
      </c>
      <c r="C358" s="6">
        <v>18.399999999999999</v>
      </c>
      <c r="D358" s="8">
        <v>7</v>
      </c>
      <c r="E358" s="6">
        <v>2.1</v>
      </c>
      <c r="F358" s="6">
        <v>3.6999999999999998E-2</v>
      </c>
      <c r="G358" s="5" t="s">
        <v>336</v>
      </c>
      <c r="H358" s="7" t="s">
        <v>61</v>
      </c>
      <c r="I358" s="5" t="s">
        <v>62</v>
      </c>
      <c r="J358" s="5" t="str">
        <f>IF(COUNTIF(packages_master!$A:$A,A358)&gt;0,"Y","N")</f>
        <v>N</v>
      </c>
      <c r="K358" s="5" t="str">
        <f t="shared" si="28"/>
        <v>BX010</v>
      </c>
      <c r="L358" s="5">
        <f t="shared" si="29"/>
        <v>300</v>
      </c>
      <c r="M358" s="5" t="str">
        <f t="shared" si="30"/>
        <v>SPECIAL_300</v>
      </c>
      <c r="N358" s="5" t="str">
        <f t="shared" si="31"/>
        <v/>
      </c>
      <c r="O358" s="12">
        <v>100</v>
      </c>
      <c r="P358" s="12" t="s">
        <v>799</v>
      </c>
      <c r="Q358" s="12" t="s">
        <v>800</v>
      </c>
      <c r="R358" s="12" t="s">
        <v>61</v>
      </c>
      <c r="S358" s="12" t="s">
        <v>801</v>
      </c>
    </row>
    <row r="359" spans="1:19" x14ac:dyDescent="0.25">
      <c r="A359" s="5" t="s">
        <v>804</v>
      </c>
      <c r="B359" s="5" t="s">
        <v>805</v>
      </c>
      <c r="C359" s="6">
        <v>22.5</v>
      </c>
      <c r="D359" s="6">
        <v>13.7</v>
      </c>
      <c r="E359" s="6">
        <v>4.7</v>
      </c>
      <c r="F359" s="6">
        <v>0.40799999999999997</v>
      </c>
      <c r="G359" s="5" t="s">
        <v>336</v>
      </c>
      <c r="H359" s="7" t="s">
        <v>61</v>
      </c>
      <c r="I359" s="5" t="s">
        <v>62</v>
      </c>
      <c r="J359" s="5" t="str">
        <f>IF(COUNTIF(packages_master!$A:$A,A359)&gt;0,"Y","N")</f>
        <v>N</v>
      </c>
      <c r="K359" s="5" t="str">
        <f t="shared" si="28"/>
        <v>BX010</v>
      </c>
      <c r="L359" s="5">
        <f t="shared" si="29"/>
        <v>300</v>
      </c>
      <c r="M359" s="5" t="str">
        <f t="shared" si="30"/>
        <v>SPECIAL_300</v>
      </c>
      <c r="N359" s="5" t="str">
        <f t="shared" si="31"/>
        <v/>
      </c>
      <c r="O359" s="12">
        <v>24</v>
      </c>
      <c r="P359" s="12" t="s">
        <v>806</v>
      </c>
      <c r="Q359" s="12" t="s">
        <v>739</v>
      </c>
      <c r="R359" s="12" t="s">
        <v>61</v>
      </c>
      <c r="S359" s="12" t="s">
        <v>807</v>
      </c>
    </row>
    <row r="360" spans="1:19" x14ac:dyDescent="0.25">
      <c r="A360" s="5" t="s">
        <v>808</v>
      </c>
      <c r="B360" s="5" t="s">
        <v>809</v>
      </c>
      <c r="C360" s="6">
        <v>19.3</v>
      </c>
      <c r="D360" s="6">
        <v>7.3</v>
      </c>
      <c r="E360" s="6">
        <v>2.8</v>
      </c>
      <c r="F360" s="6">
        <v>5.0999999999999997E-2</v>
      </c>
      <c r="G360" s="5" t="s">
        <v>336</v>
      </c>
      <c r="H360" s="7" t="s">
        <v>61</v>
      </c>
      <c r="I360" s="5" t="s">
        <v>62</v>
      </c>
      <c r="J360" s="5" t="str">
        <f>IF(COUNTIF(packages_master!$A:$A,A360)&gt;0,"Y","N")</f>
        <v>N</v>
      </c>
      <c r="K360" s="5" t="str">
        <f t="shared" si="28"/>
        <v>BX010</v>
      </c>
      <c r="L360" s="5">
        <f t="shared" si="29"/>
        <v>300</v>
      </c>
      <c r="M360" s="5" t="str">
        <f t="shared" si="30"/>
        <v>SPECIAL_300</v>
      </c>
      <c r="N360" s="5" t="str">
        <f t="shared" si="31"/>
        <v/>
      </c>
      <c r="O360" s="12"/>
      <c r="P360" s="12"/>
      <c r="Q360" s="12"/>
      <c r="R360" s="12" t="s">
        <v>63</v>
      </c>
      <c r="S360" s="12"/>
    </row>
    <row r="361" spans="1:19" x14ac:dyDescent="0.25">
      <c r="A361" s="5" t="s">
        <v>810</v>
      </c>
      <c r="B361" s="5" t="s">
        <v>811</v>
      </c>
      <c r="C361" s="6">
        <v>19.2</v>
      </c>
      <c r="D361" s="6">
        <v>7.3</v>
      </c>
      <c r="E361" s="6">
        <v>2.9</v>
      </c>
      <c r="F361" s="6">
        <v>4.8000000000000001E-2</v>
      </c>
      <c r="G361" s="5" t="s">
        <v>336</v>
      </c>
      <c r="H361" s="7" t="s">
        <v>61</v>
      </c>
      <c r="I361" s="5" t="s">
        <v>62</v>
      </c>
      <c r="J361" s="5" t="str">
        <f>IF(COUNTIF(packages_master!$A:$A,A361)&gt;0,"Y","N")</f>
        <v>N</v>
      </c>
      <c r="K361" s="5" t="str">
        <f t="shared" si="28"/>
        <v>BX010</v>
      </c>
      <c r="L361" s="5">
        <f t="shared" si="29"/>
        <v>300</v>
      </c>
      <c r="M361" s="5" t="str">
        <f t="shared" si="30"/>
        <v>SPECIAL_300</v>
      </c>
      <c r="N361" s="5" t="str">
        <f t="shared" si="31"/>
        <v/>
      </c>
      <c r="O361" s="12">
        <v>100</v>
      </c>
      <c r="P361" s="12" t="s">
        <v>812</v>
      </c>
      <c r="Q361" s="12" t="s">
        <v>813</v>
      </c>
      <c r="R361" s="12" t="s">
        <v>61</v>
      </c>
      <c r="S361" s="12" t="s">
        <v>814</v>
      </c>
    </row>
    <row r="362" spans="1:19" ht="30" x14ac:dyDescent="0.25">
      <c r="A362" s="5" t="s">
        <v>815</v>
      </c>
      <c r="B362" s="5" t="s">
        <v>816</v>
      </c>
      <c r="C362" s="6">
        <v>19.3</v>
      </c>
      <c r="D362" s="6">
        <v>7.4</v>
      </c>
      <c r="E362" s="6">
        <v>5.0999999999999996</v>
      </c>
      <c r="F362" s="6">
        <v>8.6999999999999994E-2</v>
      </c>
      <c r="G362" s="5" t="s">
        <v>336</v>
      </c>
      <c r="H362" s="7" t="s">
        <v>61</v>
      </c>
      <c r="I362" s="5" t="s">
        <v>62</v>
      </c>
      <c r="J362" s="5" t="str">
        <f>IF(COUNTIF(packages_master!$A:$A,A362)&gt;0,"Y","N")</f>
        <v>N</v>
      </c>
      <c r="K362" s="5" t="str">
        <f t="shared" si="28"/>
        <v>BX010</v>
      </c>
      <c r="L362" s="5">
        <f t="shared" si="29"/>
        <v>300</v>
      </c>
      <c r="M362" s="5" t="str">
        <f t="shared" si="30"/>
        <v>SPECIAL_300</v>
      </c>
      <c r="N362" s="5" t="str">
        <f t="shared" si="31"/>
        <v/>
      </c>
      <c r="O362" s="12">
        <v>50</v>
      </c>
      <c r="P362" s="12" t="s">
        <v>817</v>
      </c>
      <c r="Q362" s="12" t="s">
        <v>729</v>
      </c>
      <c r="R362" s="12" t="s">
        <v>61</v>
      </c>
      <c r="S362" s="12" t="s">
        <v>818</v>
      </c>
    </row>
    <row r="363" spans="1:19" x14ac:dyDescent="0.25">
      <c r="A363" s="5" t="s">
        <v>819</v>
      </c>
      <c r="B363" s="5" t="s">
        <v>820</v>
      </c>
      <c r="C363" s="8">
        <v>13</v>
      </c>
      <c r="D363" s="8">
        <v>11</v>
      </c>
      <c r="E363" s="6">
        <v>2.7</v>
      </c>
      <c r="F363" s="6">
        <v>0.16</v>
      </c>
      <c r="G363" s="5" t="s">
        <v>336</v>
      </c>
      <c r="H363" s="7" t="s">
        <v>61</v>
      </c>
      <c r="I363" s="5" t="s">
        <v>62</v>
      </c>
      <c r="J363" s="5" t="str">
        <f>IF(COUNTIF(packages_master!$A:$A,A363)&gt;0,"Y","N")</f>
        <v>N</v>
      </c>
      <c r="K363" s="5" t="str">
        <f t="shared" si="28"/>
        <v>BX010</v>
      </c>
      <c r="L363" s="5">
        <f t="shared" si="29"/>
        <v>300</v>
      </c>
      <c r="M363" s="5" t="str">
        <f t="shared" si="30"/>
        <v>SPECIAL_300</v>
      </c>
      <c r="N363" s="5" t="str">
        <f t="shared" si="31"/>
        <v/>
      </c>
      <c r="O363" s="12">
        <v>50</v>
      </c>
      <c r="P363" s="12" t="s">
        <v>821</v>
      </c>
      <c r="Q363" s="12" t="s">
        <v>822</v>
      </c>
      <c r="R363" s="12" t="s">
        <v>61</v>
      </c>
      <c r="S363" s="12" t="s">
        <v>823</v>
      </c>
    </row>
    <row r="364" spans="1:19" x14ac:dyDescent="0.25">
      <c r="A364" s="5" t="s">
        <v>824</v>
      </c>
      <c r="B364" s="5" t="s">
        <v>825</v>
      </c>
      <c r="C364" s="8">
        <v>13</v>
      </c>
      <c r="D364" s="8">
        <v>11</v>
      </c>
      <c r="E364" s="6">
        <v>2.7</v>
      </c>
      <c r="F364" s="6">
        <v>0.16</v>
      </c>
      <c r="G364" s="5" t="s">
        <v>336</v>
      </c>
      <c r="H364" s="7" t="s">
        <v>61</v>
      </c>
      <c r="I364" s="5" t="s">
        <v>62</v>
      </c>
      <c r="J364" s="5" t="str">
        <f>IF(COUNTIF(packages_master!$A:$A,A364)&gt;0,"Y","N")</f>
        <v>N</v>
      </c>
      <c r="K364" s="5" t="str">
        <f t="shared" si="28"/>
        <v>BX010</v>
      </c>
      <c r="L364" s="5">
        <f t="shared" si="29"/>
        <v>300</v>
      </c>
      <c r="M364" s="5" t="str">
        <f t="shared" si="30"/>
        <v>SPECIAL_300</v>
      </c>
      <c r="N364" s="5" t="str">
        <f t="shared" si="31"/>
        <v/>
      </c>
      <c r="O364" s="12">
        <v>50</v>
      </c>
      <c r="P364" s="12" t="s">
        <v>821</v>
      </c>
      <c r="Q364" s="12" t="s">
        <v>822</v>
      </c>
      <c r="R364" s="12" t="s">
        <v>61</v>
      </c>
      <c r="S364" s="12" t="s">
        <v>823</v>
      </c>
    </row>
    <row r="365" spans="1:19" x14ac:dyDescent="0.25">
      <c r="A365" s="5" t="s">
        <v>665</v>
      </c>
      <c r="B365" s="5" t="s">
        <v>666</v>
      </c>
      <c r="C365" s="6">
        <v>19.899999999999999</v>
      </c>
      <c r="D365" s="6">
        <v>7.6</v>
      </c>
      <c r="E365" s="6">
        <v>2.5</v>
      </c>
      <c r="F365" s="6">
        <v>0.05</v>
      </c>
      <c r="G365" s="5" t="s">
        <v>336</v>
      </c>
      <c r="H365" s="7" t="s">
        <v>61</v>
      </c>
      <c r="I365" s="5" t="s">
        <v>62</v>
      </c>
      <c r="J365" s="5" t="str">
        <f>IF(COUNTIF(packages_master!$A:$A,A365)&gt;0,"Y","N")</f>
        <v>N</v>
      </c>
      <c r="K365" s="5" t="str">
        <f t="shared" si="28"/>
        <v>BX010</v>
      </c>
      <c r="L365" s="5">
        <f t="shared" si="29"/>
        <v>300</v>
      </c>
      <c r="M365" s="5" t="str">
        <f t="shared" si="30"/>
        <v>SPECIAL_300</v>
      </c>
      <c r="N365" s="5" t="str">
        <f t="shared" si="31"/>
        <v/>
      </c>
      <c r="O365" s="12">
        <v>60</v>
      </c>
      <c r="P365" s="12" t="s">
        <v>667</v>
      </c>
      <c r="Q365" s="12" t="s">
        <v>668</v>
      </c>
      <c r="R365" s="12" t="s">
        <v>61</v>
      </c>
      <c r="S365" s="12" t="s">
        <v>669</v>
      </c>
    </row>
    <row r="366" spans="1:19" x14ac:dyDescent="0.25">
      <c r="A366" s="5" t="s">
        <v>826</v>
      </c>
      <c r="B366" s="5" t="s">
        <v>827</v>
      </c>
      <c r="C366" s="6">
        <v>15.7</v>
      </c>
      <c r="D366" s="8">
        <v>11</v>
      </c>
      <c r="E366" s="6">
        <v>3.5</v>
      </c>
      <c r="F366" s="6">
        <v>0.21099999999999999</v>
      </c>
      <c r="G366" s="5" t="s">
        <v>336</v>
      </c>
      <c r="H366" s="7" t="s">
        <v>61</v>
      </c>
      <c r="I366" s="5" t="s">
        <v>62</v>
      </c>
      <c r="J366" s="5" t="str">
        <f>IF(COUNTIF(packages_master!$A:$A,A366)&gt;0,"Y","N")</f>
        <v>N</v>
      </c>
      <c r="K366" s="5" t="str">
        <f t="shared" si="28"/>
        <v>BX010</v>
      </c>
      <c r="L366" s="5">
        <f t="shared" si="29"/>
        <v>300</v>
      </c>
      <c r="M366" s="5" t="str">
        <f t="shared" si="30"/>
        <v>SPECIAL_300</v>
      </c>
      <c r="N366" s="5" t="str">
        <f t="shared" si="31"/>
        <v/>
      </c>
      <c r="O366" s="12">
        <v>99</v>
      </c>
      <c r="P366" s="12" t="s">
        <v>828</v>
      </c>
      <c r="Q366" s="12" t="s">
        <v>829</v>
      </c>
      <c r="R366" s="12" t="s">
        <v>61</v>
      </c>
      <c r="S366" s="12" t="s">
        <v>830</v>
      </c>
    </row>
    <row r="367" spans="1:19" x14ac:dyDescent="0.25">
      <c r="A367" s="5" t="s">
        <v>831</v>
      </c>
      <c r="B367" s="5" t="s">
        <v>832</v>
      </c>
      <c r="C367" s="8">
        <v>10</v>
      </c>
      <c r="D367" s="8">
        <v>10</v>
      </c>
      <c r="E367" s="6">
        <v>11.2</v>
      </c>
      <c r="F367" s="6">
        <v>0.63100000000000001</v>
      </c>
      <c r="G367" s="5" t="s">
        <v>336</v>
      </c>
      <c r="H367" s="7" t="s">
        <v>61</v>
      </c>
      <c r="I367" s="5" t="s">
        <v>62</v>
      </c>
      <c r="J367" s="5" t="str">
        <f>IF(COUNTIF(packages_master!$A:$A,A367)&gt;0,"Y","N")</f>
        <v>N</v>
      </c>
      <c r="K367" s="5" t="str">
        <f t="shared" si="28"/>
        <v>BX010</v>
      </c>
      <c r="L367" s="5">
        <f t="shared" si="29"/>
        <v>300</v>
      </c>
      <c r="M367" s="5" t="str">
        <f t="shared" si="30"/>
        <v>SPECIAL_300</v>
      </c>
      <c r="N367" s="5" t="str">
        <f t="shared" si="31"/>
        <v/>
      </c>
      <c r="O367" s="12">
        <v>20</v>
      </c>
      <c r="P367" s="12" t="s">
        <v>697</v>
      </c>
      <c r="Q367" s="12" t="s">
        <v>698</v>
      </c>
      <c r="R367" s="12" t="s">
        <v>61</v>
      </c>
      <c r="S367" s="12" t="s">
        <v>699</v>
      </c>
    </row>
    <row r="368" spans="1:19" x14ac:dyDescent="0.25">
      <c r="A368" s="5" t="s">
        <v>833</v>
      </c>
      <c r="B368" s="5" t="s">
        <v>834</v>
      </c>
      <c r="C368" s="6">
        <v>13.3</v>
      </c>
      <c r="D368" s="6">
        <v>3.8</v>
      </c>
      <c r="E368" s="6">
        <v>3.4</v>
      </c>
      <c r="F368" s="6">
        <v>4.7E-2</v>
      </c>
      <c r="G368" s="5" t="s">
        <v>336</v>
      </c>
      <c r="H368" s="7" t="s">
        <v>61</v>
      </c>
      <c r="I368" s="5" t="s">
        <v>62</v>
      </c>
      <c r="J368" s="5" t="str">
        <f>IF(COUNTIF(packages_master!$A:$A,A368)&gt;0,"Y","N")</f>
        <v>N</v>
      </c>
      <c r="K368" s="5" t="str">
        <f t="shared" si="28"/>
        <v>BX010</v>
      </c>
      <c r="L368" s="5">
        <f t="shared" si="29"/>
        <v>300</v>
      </c>
      <c r="M368" s="5" t="str">
        <f t="shared" si="30"/>
        <v>SPECIAL_300</v>
      </c>
      <c r="N368" s="5" t="str">
        <f t="shared" si="31"/>
        <v/>
      </c>
      <c r="O368" s="12">
        <v>180</v>
      </c>
      <c r="P368" s="12" t="s">
        <v>835</v>
      </c>
      <c r="Q368" s="12" t="s">
        <v>836</v>
      </c>
      <c r="R368" s="12" t="s">
        <v>61</v>
      </c>
      <c r="S368" s="12" t="s">
        <v>837</v>
      </c>
    </row>
    <row r="369" spans="1:19" x14ac:dyDescent="0.25">
      <c r="A369" s="5" t="s">
        <v>838</v>
      </c>
      <c r="B369" s="5" t="s">
        <v>839</v>
      </c>
      <c r="C369" s="8">
        <v>10</v>
      </c>
      <c r="D369" s="8">
        <v>10</v>
      </c>
      <c r="E369" s="6">
        <v>11.2</v>
      </c>
      <c r="F369" s="6">
        <v>0.63100000000000001</v>
      </c>
      <c r="G369" s="5" t="s">
        <v>336</v>
      </c>
      <c r="H369" s="7" t="s">
        <v>61</v>
      </c>
      <c r="I369" s="5" t="s">
        <v>62</v>
      </c>
      <c r="J369" s="5" t="str">
        <f>IF(COUNTIF(packages_master!$A:$A,A369)&gt;0,"Y","N")</f>
        <v>N</v>
      </c>
      <c r="K369" s="5" t="str">
        <f t="shared" si="28"/>
        <v>BX010</v>
      </c>
      <c r="L369" s="5">
        <f t="shared" si="29"/>
        <v>300</v>
      </c>
      <c r="M369" s="5" t="str">
        <f t="shared" si="30"/>
        <v>SPECIAL_300</v>
      </c>
      <c r="N369" s="5" t="str">
        <f t="shared" si="31"/>
        <v/>
      </c>
      <c r="O369" s="12">
        <v>20</v>
      </c>
      <c r="P369" s="12" t="s">
        <v>697</v>
      </c>
      <c r="Q369" s="12" t="s">
        <v>698</v>
      </c>
      <c r="R369" s="12" t="s">
        <v>61</v>
      </c>
      <c r="S369" s="12" t="s">
        <v>699</v>
      </c>
    </row>
    <row r="370" spans="1:19" x14ac:dyDescent="0.25">
      <c r="A370" s="5" t="s">
        <v>840</v>
      </c>
      <c r="B370" s="5" t="s">
        <v>841</v>
      </c>
      <c r="C370" s="6">
        <v>19.2</v>
      </c>
      <c r="D370" s="6">
        <v>7.3</v>
      </c>
      <c r="E370" s="6">
        <v>2.8</v>
      </c>
      <c r="F370" s="6">
        <v>5.1999999999999998E-2</v>
      </c>
      <c r="G370" s="5" t="s">
        <v>336</v>
      </c>
      <c r="H370" s="7" t="s">
        <v>61</v>
      </c>
      <c r="I370" s="5" t="s">
        <v>62</v>
      </c>
      <c r="J370" s="5" t="str">
        <f>IF(COUNTIF(packages_master!$A:$A,A370)&gt;0,"Y","N")</f>
        <v>N</v>
      </c>
      <c r="K370" s="5" t="str">
        <f t="shared" si="28"/>
        <v>BX010</v>
      </c>
      <c r="L370" s="5">
        <f t="shared" si="29"/>
        <v>300</v>
      </c>
      <c r="M370" s="5" t="str">
        <f t="shared" si="30"/>
        <v>SPECIAL_300</v>
      </c>
      <c r="N370" s="5" t="str">
        <f t="shared" si="31"/>
        <v/>
      </c>
      <c r="O370" s="12">
        <v>100</v>
      </c>
      <c r="P370" s="12" t="s">
        <v>842</v>
      </c>
      <c r="Q370" s="12" t="s">
        <v>813</v>
      </c>
      <c r="R370" s="12" t="s">
        <v>61</v>
      </c>
      <c r="S370" s="12" t="s">
        <v>843</v>
      </c>
    </row>
    <row r="371" spans="1:19" x14ac:dyDescent="0.25">
      <c r="A371" s="5" t="s">
        <v>844</v>
      </c>
      <c r="B371" s="5" t="s">
        <v>845</v>
      </c>
      <c r="C371" s="6">
        <v>19.3</v>
      </c>
      <c r="D371" s="6">
        <v>7.3</v>
      </c>
      <c r="E371" s="6">
        <v>2.8</v>
      </c>
      <c r="F371" s="6">
        <v>5.0999999999999997E-2</v>
      </c>
      <c r="G371" s="5" t="s">
        <v>336</v>
      </c>
      <c r="H371" s="7" t="s">
        <v>61</v>
      </c>
      <c r="I371" s="5" t="s">
        <v>62</v>
      </c>
      <c r="J371" s="5" t="str">
        <f>IF(COUNTIF(packages_master!$A:$A,A371)&gt;0,"Y","N")</f>
        <v>N</v>
      </c>
      <c r="K371" s="5" t="str">
        <f t="shared" si="28"/>
        <v>BX010</v>
      </c>
      <c r="L371" s="5">
        <f t="shared" si="29"/>
        <v>300</v>
      </c>
      <c r="M371" s="5" t="str">
        <f t="shared" si="30"/>
        <v>SPECIAL_300</v>
      </c>
      <c r="N371" s="5" t="str">
        <f t="shared" si="31"/>
        <v/>
      </c>
      <c r="O371" s="12"/>
      <c r="P371" s="12"/>
      <c r="Q371" s="12"/>
      <c r="R371" s="12" t="s">
        <v>63</v>
      </c>
      <c r="S371" s="12"/>
    </row>
    <row r="372" spans="1:19" x14ac:dyDescent="0.25">
      <c r="A372" s="5" t="s">
        <v>846</v>
      </c>
      <c r="B372" s="5" t="s">
        <v>847</v>
      </c>
      <c r="C372" s="6">
        <v>19.2</v>
      </c>
      <c r="D372" s="6">
        <v>7.4</v>
      </c>
      <c r="E372" s="6">
        <v>2.9</v>
      </c>
      <c r="F372" s="6">
        <v>5.1999999999999998E-2</v>
      </c>
      <c r="G372" s="5" t="s">
        <v>336</v>
      </c>
      <c r="H372" s="7" t="s">
        <v>61</v>
      </c>
      <c r="I372" s="5" t="s">
        <v>62</v>
      </c>
      <c r="J372" s="5" t="str">
        <f>IF(COUNTIF(packages_master!$A:$A,A372)&gt;0,"Y","N")</f>
        <v>N</v>
      </c>
      <c r="K372" s="5" t="str">
        <f t="shared" si="28"/>
        <v>BX010</v>
      </c>
      <c r="L372" s="5">
        <f t="shared" si="29"/>
        <v>300</v>
      </c>
      <c r="M372" s="5" t="str">
        <f t="shared" si="30"/>
        <v>SPECIAL_300</v>
      </c>
      <c r="N372" s="5" t="str">
        <f t="shared" si="31"/>
        <v/>
      </c>
      <c r="O372" s="12">
        <v>100</v>
      </c>
      <c r="P372" s="12" t="s">
        <v>848</v>
      </c>
      <c r="Q372" s="12" t="s">
        <v>739</v>
      </c>
      <c r="R372" s="12" t="s">
        <v>61</v>
      </c>
      <c r="S372" s="12" t="s">
        <v>849</v>
      </c>
    </row>
    <row r="373" spans="1:19" x14ac:dyDescent="0.25">
      <c r="A373" s="5" t="s">
        <v>850</v>
      </c>
      <c r="B373" s="5" t="s">
        <v>851</v>
      </c>
      <c r="C373" s="5"/>
      <c r="D373" s="5"/>
      <c r="E373" s="5"/>
      <c r="F373" s="6">
        <v>3.1E-2</v>
      </c>
      <c r="G373" s="5" t="s">
        <v>336</v>
      </c>
      <c r="H373" s="7" t="s">
        <v>61</v>
      </c>
      <c r="I373" s="5" t="s">
        <v>62</v>
      </c>
      <c r="J373" s="5" t="str">
        <f>IF(COUNTIF(packages_master!$A:$A,A373)&gt;0,"Y","N")</f>
        <v>N</v>
      </c>
      <c r="K373" s="5" t="str">
        <f t="shared" si="28"/>
        <v>BX010</v>
      </c>
      <c r="L373" s="5">
        <f t="shared" si="29"/>
        <v>300</v>
      </c>
      <c r="M373" s="5" t="str">
        <f t="shared" si="30"/>
        <v>SPECIAL_300</v>
      </c>
      <c r="N373" s="5" t="str">
        <f t="shared" si="31"/>
        <v/>
      </c>
      <c r="O373" s="12"/>
      <c r="P373" s="12"/>
      <c r="Q373" s="12"/>
      <c r="R373" s="12" t="s">
        <v>63</v>
      </c>
      <c r="S373" s="12"/>
    </row>
    <row r="374" spans="1:19" x14ac:dyDescent="0.25">
      <c r="A374" s="5" t="s">
        <v>670</v>
      </c>
      <c r="B374" s="5" t="s">
        <v>671</v>
      </c>
      <c r="C374" s="6">
        <v>19.899999999999999</v>
      </c>
      <c r="D374" s="6">
        <v>6.8</v>
      </c>
      <c r="E374" s="6">
        <v>2.7</v>
      </c>
      <c r="F374" s="6">
        <v>4.2000000000000003E-2</v>
      </c>
      <c r="G374" s="5" t="s">
        <v>336</v>
      </c>
      <c r="H374" s="7" t="s">
        <v>61</v>
      </c>
      <c r="I374" s="5" t="s">
        <v>62</v>
      </c>
      <c r="J374" s="5" t="str">
        <f>IF(COUNTIF(packages_master!$A:$A,A374)&gt;0,"Y","N")</f>
        <v>N</v>
      </c>
      <c r="K374" s="5" t="str">
        <f t="shared" si="28"/>
        <v>BX010</v>
      </c>
      <c r="L374" s="5">
        <f t="shared" si="29"/>
        <v>300</v>
      </c>
      <c r="M374" s="5" t="str">
        <f t="shared" si="30"/>
        <v>SPECIAL_300</v>
      </c>
      <c r="N374" s="5" t="str">
        <f t="shared" si="31"/>
        <v/>
      </c>
      <c r="O374" s="12">
        <v>100</v>
      </c>
      <c r="P374" s="12" t="s">
        <v>672</v>
      </c>
      <c r="Q374" s="12" t="s">
        <v>673</v>
      </c>
      <c r="R374" s="12" t="s">
        <v>61</v>
      </c>
      <c r="S374" s="12" t="s">
        <v>674</v>
      </c>
    </row>
    <row r="375" spans="1:19" x14ac:dyDescent="0.25">
      <c r="A375" s="5" t="s">
        <v>852</v>
      </c>
      <c r="B375" s="5" t="s">
        <v>853</v>
      </c>
      <c r="C375" s="6">
        <v>17.100000000000001</v>
      </c>
      <c r="D375" s="6">
        <v>14.8</v>
      </c>
      <c r="E375" s="6">
        <v>3.4</v>
      </c>
      <c r="F375" s="6">
        <v>0.30499999999999999</v>
      </c>
      <c r="G375" s="5"/>
      <c r="H375" s="7" t="s">
        <v>61</v>
      </c>
      <c r="I375" s="5" t="s">
        <v>62</v>
      </c>
      <c r="J375" s="5" t="str">
        <f>IF(COUNTIF(packages_master!$A:$A,A375)&gt;0,"Y","N")</f>
        <v>N</v>
      </c>
      <c r="K375" s="5" t="str">
        <f t="shared" si="28"/>
        <v/>
      </c>
      <c r="L375" s="5" t="str">
        <f t="shared" si="29"/>
        <v/>
      </c>
      <c r="M375" s="5" t="str">
        <f t="shared" si="30"/>
        <v>NORMAL</v>
      </c>
      <c r="N375" s="5" t="str">
        <f t="shared" si="31"/>
        <v/>
      </c>
      <c r="O375" s="12"/>
      <c r="P375" s="12"/>
      <c r="Q375" s="12"/>
      <c r="R375" s="12" t="s">
        <v>63</v>
      </c>
      <c r="S375" s="12"/>
    </row>
    <row r="376" spans="1:19" x14ac:dyDescent="0.25">
      <c r="A376" s="5" t="s">
        <v>854</v>
      </c>
      <c r="B376" s="5" t="s">
        <v>855</v>
      </c>
      <c r="C376" s="6">
        <v>11.8</v>
      </c>
      <c r="D376" s="6">
        <v>10.9</v>
      </c>
      <c r="E376" s="6">
        <v>9.3000000000000007</v>
      </c>
      <c r="F376" s="6">
        <v>0.29699999999999999</v>
      </c>
      <c r="G376" s="5"/>
      <c r="H376" s="7" t="s">
        <v>61</v>
      </c>
      <c r="I376" s="5" t="s">
        <v>62</v>
      </c>
      <c r="J376" s="5" t="str">
        <f>IF(COUNTIF(packages_master!$A:$A,A376)&gt;0,"Y","N")</f>
        <v>N</v>
      </c>
      <c r="K376" s="5" t="str">
        <f t="shared" si="28"/>
        <v/>
      </c>
      <c r="L376" s="5" t="str">
        <f t="shared" si="29"/>
        <v/>
      </c>
      <c r="M376" s="5" t="str">
        <f t="shared" si="30"/>
        <v>NORMAL</v>
      </c>
      <c r="N376" s="5" t="str">
        <f t="shared" si="31"/>
        <v/>
      </c>
      <c r="O376" s="12"/>
      <c r="P376" s="12"/>
      <c r="Q376" s="12"/>
      <c r="R376" s="12" t="s">
        <v>63</v>
      </c>
      <c r="S376" s="12"/>
    </row>
    <row r="377" spans="1:19" x14ac:dyDescent="0.25">
      <c r="A377" s="5" t="s">
        <v>856</v>
      </c>
      <c r="B377" s="5" t="s">
        <v>857</v>
      </c>
      <c r="C377" s="6">
        <v>16.100000000000001</v>
      </c>
      <c r="D377" s="8">
        <v>13</v>
      </c>
      <c r="E377" s="6">
        <v>5.3</v>
      </c>
      <c r="F377" s="6">
        <v>0.191</v>
      </c>
      <c r="G377" s="5"/>
      <c r="H377" s="7" t="s">
        <v>61</v>
      </c>
      <c r="I377" s="5" t="s">
        <v>62</v>
      </c>
      <c r="J377" s="5" t="str">
        <f>IF(COUNTIF(packages_master!$A:$A,A377)&gt;0,"Y","N")</f>
        <v>N</v>
      </c>
      <c r="K377" s="5" t="str">
        <f t="shared" si="28"/>
        <v/>
      </c>
      <c r="L377" s="5" t="str">
        <f t="shared" si="29"/>
        <v/>
      </c>
      <c r="M377" s="5" t="str">
        <f t="shared" si="30"/>
        <v>NORMAL</v>
      </c>
      <c r="N377" s="5" t="str">
        <f t="shared" si="31"/>
        <v/>
      </c>
      <c r="O377" s="12"/>
      <c r="P377" s="12"/>
      <c r="Q377" s="12"/>
      <c r="R377" s="12" t="s">
        <v>63</v>
      </c>
      <c r="S377" s="12"/>
    </row>
    <row r="378" spans="1:19" x14ac:dyDescent="0.25">
      <c r="A378" s="5" t="s">
        <v>858</v>
      </c>
      <c r="B378" s="5" t="s">
        <v>859</v>
      </c>
      <c r="C378" s="6">
        <v>6.9</v>
      </c>
      <c r="D378" s="6">
        <v>4.5999999999999996</v>
      </c>
      <c r="E378" s="6">
        <v>3.1</v>
      </c>
      <c r="F378" s="6">
        <v>2.5000000000000001E-2</v>
      </c>
      <c r="G378" s="5"/>
      <c r="H378" s="7" t="s">
        <v>61</v>
      </c>
      <c r="I378" s="5" t="s">
        <v>62</v>
      </c>
      <c r="J378" s="5" t="str">
        <f>IF(COUNTIF(packages_master!$A:$A,A378)&gt;0,"Y","N")</f>
        <v>N</v>
      </c>
      <c r="K378" s="5" t="str">
        <f t="shared" si="28"/>
        <v/>
      </c>
      <c r="L378" s="5" t="str">
        <f t="shared" si="29"/>
        <v/>
      </c>
      <c r="M378" s="5" t="str">
        <f t="shared" si="30"/>
        <v>NORMAL</v>
      </c>
      <c r="N378" s="5" t="str">
        <f t="shared" si="31"/>
        <v/>
      </c>
      <c r="O378" s="12">
        <v>100</v>
      </c>
      <c r="P378" s="12" t="s">
        <v>860</v>
      </c>
      <c r="Q378" s="12" t="s">
        <v>861</v>
      </c>
      <c r="R378" s="12" t="s">
        <v>61</v>
      </c>
      <c r="S378" s="12" t="s">
        <v>862</v>
      </c>
    </row>
    <row r="379" spans="1:19" x14ac:dyDescent="0.25">
      <c r="A379" s="5" t="s">
        <v>863</v>
      </c>
      <c r="B379" s="5" t="s">
        <v>864</v>
      </c>
      <c r="C379" s="8">
        <v>35</v>
      </c>
      <c r="D379" s="8">
        <v>17</v>
      </c>
      <c r="E379" s="8">
        <v>3</v>
      </c>
      <c r="F379" s="6">
        <v>0.28299999999999997</v>
      </c>
      <c r="G379" s="5"/>
      <c r="H379" s="7" t="s">
        <v>61</v>
      </c>
      <c r="I379" s="5" t="s">
        <v>62</v>
      </c>
      <c r="J379" s="5" t="str">
        <f>IF(COUNTIF(packages_master!$A:$A,A379)&gt;0,"Y","N")</f>
        <v>N</v>
      </c>
      <c r="K379" s="5" t="str">
        <f t="shared" si="28"/>
        <v/>
      </c>
      <c r="L379" s="5" t="str">
        <f t="shared" si="29"/>
        <v/>
      </c>
      <c r="M379" s="5" t="str">
        <f t="shared" si="30"/>
        <v>NORMAL</v>
      </c>
      <c r="N379" s="5" t="str">
        <f t="shared" si="31"/>
        <v/>
      </c>
      <c r="O379" s="12"/>
      <c r="P379" s="12"/>
      <c r="Q379" s="12"/>
      <c r="R379" s="12" t="s">
        <v>63</v>
      </c>
      <c r="S379" s="12"/>
    </row>
    <row r="380" spans="1:19" x14ac:dyDescent="0.25">
      <c r="A380" s="5" t="s">
        <v>865</v>
      </c>
      <c r="B380" s="5" t="s">
        <v>866</v>
      </c>
      <c r="C380" s="6">
        <v>17.3</v>
      </c>
      <c r="D380" s="6">
        <v>13.2</v>
      </c>
      <c r="E380" s="8">
        <v>4</v>
      </c>
      <c r="F380" s="6">
        <v>0.23</v>
      </c>
      <c r="G380" s="5"/>
      <c r="H380" s="7" t="s">
        <v>61</v>
      </c>
      <c r="I380" s="5" t="s">
        <v>62</v>
      </c>
      <c r="J380" s="5" t="str">
        <f>IF(COUNTIF(packages_master!$A:$A,A380)&gt;0,"Y","N")</f>
        <v>N</v>
      </c>
      <c r="K380" s="5" t="str">
        <f t="shared" si="28"/>
        <v/>
      </c>
      <c r="L380" s="5" t="str">
        <f t="shared" si="29"/>
        <v/>
      </c>
      <c r="M380" s="5" t="str">
        <f t="shared" si="30"/>
        <v>NORMAL</v>
      </c>
      <c r="N380" s="5" t="str">
        <f t="shared" si="31"/>
        <v/>
      </c>
      <c r="O380" s="12"/>
      <c r="P380" s="12"/>
      <c r="Q380" s="12"/>
      <c r="R380" s="12" t="s">
        <v>63</v>
      </c>
      <c r="S380" s="12"/>
    </row>
    <row r="381" spans="1:19" x14ac:dyDescent="0.25">
      <c r="A381" s="5" t="s">
        <v>867</v>
      </c>
      <c r="B381" s="5" t="s">
        <v>868</v>
      </c>
      <c r="C381" s="6">
        <v>14.9</v>
      </c>
      <c r="D381" s="6">
        <v>7.6</v>
      </c>
      <c r="E381" s="6">
        <v>4.5999999999999996</v>
      </c>
      <c r="F381" s="6">
        <v>0.192</v>
      </c>
      <c r="G381" s="5"/>
      <c r="H381" s="7" t="s">
        <v>61</v>
      </c>
      <c r="I381" s="5" t="s">
        <v>62</v>
      </c>
      <c r="J381" s="5" t="str">
        <f>IF(COUNTIF(packages_master!$A:$A,A381)&gt;0,"Y","N")</f>
        <v>N</v>
      </c>
      <c r="K381" s="5" t="str">
        <f t="shared" si="28"/>
        <v/>
      </c>
      <c r="L381" s="5" t="str">
        <f t="shared" si="29"/>
        <v/>
      </c>
      <c r="M381" s="5" t="str">
        <f t="shared" si="30"/>
        <v>NORMAL</v>
      </c>
      <c r="N381" s="5" t="str">
        <f t="shared" si="31"/>
        <v/>
      </c>
      <c r="O381" s="12"/>
      <c r="P381" s="12"/>
      <c r="Q381" s="12"/>
      <c r="R381" s="12" t="s">
        <v>63</v>
      </c>
      <c r="S381" s="12"/>
    </row>
    <row r="382" spans="1:19" x14ac:dyDescent="0.25">
      <c r="A382" s="5" t="s">
        <v>869</v>
      </c>
      <c r="B382" s="5" t="s">
        <v>870</v>
      </c>
      <c r="C382" s="6">
        <v>23.1</v>
      </c>
      <c r="D382" s="6">
        <v>7.5</v>
      </c>
      <c r="E382" s="6">
        <v>3.2</v>
      </c>
      <c r="F382" s="6">
        <v>7.5999999999999998E-2</v>
      </c>
      <c r="G382" s="5"/>
      <c r="H382" s="7" t="s">
        <v>61</v>
      </c>
      <c r="I382" s="5" t="s">
        <v>62</v>
      </c>
      <c r="J382" s="5" t="str">
        <f>IF(COUNTIF(packages_master!$A:$A,A382)&gt;0,"Y","N")</f>
        <v>N</v>
      </c>
      <c r="K382" s="5" t="str">
        <f t="shared" si="28"/>
        <v/>
      </c>
      <c r="L382" s="5" t="str">
        <f t="shared" si="29"/>
        <v/>
      </c>
      <c r="M382" s="5" t="str">
        <f t="shared" si="30"/>
        <v>NORMAL</v>
      </c>
      <c r="N382" s="5" t="str">
        <f t="shared" si="31"/>
        <v/>
      </c>
      <c r="O382" s="12"/>
      <c r="P382" s="12"/>
      <c r="Q382" s="12"/>
      <c r="R382" s="12" t="s">
        <v>63</v>
      </c>
      <c r="S382" s="12"/>
    </row>
    <row r="383" spans="1:19" x14ac:dyDescent="0.25">
      <c r="A383" s="5" t="s">
        <v>871</v>
      </c>
      <c r="B383" s="5" t="s">
        <v>872</v>
      </c>
      <c r="C383" s="6">
        <v>7.2</v>
      </c>
      <c r="D383" s="6">
        <v>3.6</v>
      </c>
      <c r="E383" s="6">
        <v>3.4</v>
      </c>
      <c r="F383" s="6">
        <v>2.7E-2</v>
      </c>
      <c r="G383" s="5"/>
      <c r="H383" s="7" t="s">
        <v>61</v>
      </c>
      <c r="I383" s="5" t="s">
        <v>62</v>
      </c>
      <c r="J383" s="5" t="str">
        <f>IF(COUNTIF(packages_master!$A:$A,A383)&gt;0,"Y","N")</f>
        <v>N</v>
      </c>
      <c r="K383" s="5" t="str">
        <f t="shared" si="28"/>
        <v/>
      </c>
      <c r="L383" s="5" t="str">
        <f t="shared" si="29"/>
        <v/>
      </c>
      <c r="M383" s="5" t="str">
        <f t="shared" si="30"/>
        <v>NORMAL</v>
      </c>
      <c r="N383" s="5" t="str">
        <f t="shared" si="31"/>
        <v/>
      </c>
      <c r="O383" s="12"/>
      <c r="P383" s="12"/>
      <c r="Q383" s="12"/>
      <c r="R383" s="12" t="s">
        <v>63</v>
      </c>
      <c r="S383" s="12"/>
    </row>
    <row r="384" spans="1:19" x14ac:dyDescent="0.25">
      <c r="A384" s="5" t="s">
        <v>873</v>
      </c>
      <c r="B384" s="5" t="s">
        <v>874</v>
      </c>
      <c r="C384" s="6">
        <v>19.7</v>
      </c>
      <c r="D384" s="6">
        <v>10.8</v>
      </c>
      <c r="E384" s="6">
        <v>3.4</v>
      </c>
      <c r="F384" s="6">
        <v>0.224</v>
      </c>
      <c r="G384" s="5"/>
      <c r="H384" s="7" t="s">
        <v>61</v>
      </c>
      <c r="I384" s="5" t="s">
        <v>62</v>
      </c>
      <c r="J384" s="5" t="str">
        <f>IF(COUNTIF(packages_master!$A:$A,A384)&gt;0,"Y","N")</f>
        <v>N</v>
      </c>
      <c r="K384" s="5" t="str">
        <f t="shared" si="28"/>
        <v/>
      </c>
      <c r="L384" s="5" t="str">
        <f t="shared" si="29"/>
        <v/>
      </c>
      <c r="M384" s="5" t="str">
        <f t="shared" si="30"/>
        <v>NORMAL</v>
      </c>
      <c r="N384" s="5" t="str">
        <f t="shared" si="31"/>
        <v/>
      </c>
      <c r="O384" s="12"/>
      <c r="P384" s="12"/>
      <c r="Q384" s="12"/>
      <c r="R384" s="12" t="s">
        <v>63</v>
      </c>
      <c r="S384" s="12"/>
    </row>
    <row r="385" spans="1:19" x14ac:dyDescent="0.25">
      <c r="A385" s="5" t="s">
        <v>875</v>
      </c>
      <c r="B385" s="5" t="s">
        <v>876</v>
      </c>
      <c r="C385" s="6">
        <v>18.399999999999999</v>
      </c>
      <c r="D385" s="8">
        <v>7</v>
      </c>
      <c r="E385" s="6">
        <v>2.1</v>
      </c>
      <c r="F385" s="6">
        <v>4.1000000000000002E-2</v>
      </c>
      <c r="G385" s="5"/>
      <c r="H385" s="7" t="s">
        <v>61</v>
      </c>
      <c r="I385" s="5" t="s">
        <v>62</v>
      </c>
      <c r="J385" s="5" t="str">
        <f>IF(COUNTIF(packages_master!$A:$A,A385)&gt;0,"Y","N")</f>
        <v>N</v>
      </c>
      <c r="K385" s="5" t="str">
        <f t="shared" si="28"/>
        <v/>
      </c>
      <c r="L385" s="5" t="str">
        <f t="shared" si="29"/>
        <v/>
      </c>
      <c r="M385" s="5" t="str">
        <f t="shared" si="30"/>
        <v>NORMAL</v>
      </c>
      <c r="N385" s="5" t="str">
        <f t="shared" si="31"/>
        <v/>
      </c>
      <c r="O385" s="12"/>
      <c r="P385" s="12"/>
      <c r="Q385" s="12"/>
      <c r="R385" s="12" t="s">
        <v>63</v>
      </c>
      <c r="S385" s="12"/>
    </row>
    <row r="386" spans="1:19" x14ac:dyDescent="0.25">
      <c r="A386" s="5" t="s">
        <v>877</v>
      </c>
      <c r="B386" s="5" t="s">
        <v>878</v>
      </c>
      <c r="C386" s="6">
        <v>19.3</v>
      </c>
      <c r="D386" s="6">
        <v>7.4</v>
      </c>
      <c r="E386" s="6">
        <v>5.0999999999999996</v>
      </c>
      <c r="F386" s="6">
        <v>7.9000000000000001E-2</v>
      </c>
      <c r="G386" s="5"/>
      <c r="H386" s="7" t="s">
        <v>61</v>
      </c>
      <c r="I386" s="5" t="s">
        <v>62</v>
      </c>
      <c r="J386" s="5" t="str">
        <f>IF(COUNTIF(packages_master!$A:$A,A386)&gt;0,"Y","N")</f>
        <v>N</v>
      </c>
      <c r="K386" s="5" t="str">
        <f t="shared" si="28"/>
        <v/>
      </c>
      <c r="L386" s="5" t="str">
        <f t="shared" si="29"/>
        <v/>
      </c>
      <c r="M386" s="5" t="str">
        <f t="shared" si="30"/>
        <v>NORMAL</v>
      </c>
      <c r="N386" s="5" t="str">
        <f t="shared" si="31"/>
        <v/>
      </c>
      <c r="O386" s="12"/>
      <c r="P386" s="12"/>
      <c r="Q386" s="12"/>
      <c r="R386" s="12" t="s">
        <v>63</v>
      </c>
      <c r="S386" s="12"/>
    </row>
    <row r="387" spans="1:19" x14ac:dyDescent="0.25">
      <c r="A387" s="5" t="s">
        <v>879</v>
      </c>
      <c r="B387" s="5" t="s">
        <v>880</v>
      </c>
      <c r="C387" s="6">
        <v>19.3</v>
      </c>
      <c r="D387" s="6">
        <v>7.4</v>
      </c>
      <c r="E387" s="6">
        <v>5.0999999999999996</v>
      </c>
      <c r="F387" s="6">
        <v>8.1000000000000003E-2</v>
      </c>
      <c r="G387" s="5"/>
      <c r="H387" s="7" t="s">
        <v>61</v>
      </c>
      <c r="I387" s="5" t="s">
        <v>62</v>
      </c>
      <c r="J387" s="5" t="str">
        <f>IF(COUNTIF(packages_master!$A:$A,A387)&gt;0,"Y","N")</f>
        <v>N</v>
      </c>
      <c r="K387" s="5" t="str">
        <f t="shared" si="28"/>
        <v/>
      </c>
      <c r="L387" s="5" t="str">
        <f t="shared" si="29"/>
        <v/>
      </c>
      <c r="M387" s="5" t="str">
        <f t="shared" si="30"/>
        <v>NORMAL</v>
      </c>
      <c r="N387" s="5" t="str">
        <f t="shared" si="31"/>
        <v/>
      </c>
      <c r="O387" s="12"/>
      <c r="P387" s="12"/>
      <c r="Q387" s="12"/>
      <c r="R387" s="12" t="s">
        <v>63</v>
      </c>
      <c r="S387" s="12"/>
    </row>
    <row r="388" spans="1:19" x14ac:dyDescent="0.25">
      <c r="A388" s="5" t="s">
        <v>881</v>
      </c>
      <c r="B388" s="5" t="s">
        <v>882</v>
      </c>
      <c r="C388" s="6">
        <v>19.3</v>
      </c>
      <c r="D388" s="6">
        <v>7.4</v>
      </c>
      <c r="E388" s="6">
        <v>5.0999999999999996</v>
      </c>
      <c r="F388" s="6">
        <v>7.9000000000000001E-2</v>
      </c>
      <c r="G388" s="5"/>
      <c r="H388" s="7" t="s">
        <v>61</v>
      </c>
      <c r="I388" s="5" t="s">
        <v>62</v>
      </c>
      <c r="J388" s="5" t="str">
        <f>IF(COUNTIF(packages_master!$A:$A,A388)&gt;0,"Y","N")</f>
        <v>N</v>
      </c>
      <c r="K388" s="5" t="str">
        <f t="shared" si="28"/>
        <v/>
      </c>
      <c r="L388" s="5" t="str">
        <f t="shared" si="29"/>
        <v/>
      </c>
      <c r="M388" s="5" t="str">
        <f t="shared" si="30"/>
        <v>NORMAL</v>
      </c>
      <c r="N388" s="5" t="str">
        <f t="shared" si="31"/>
        <v/>
      </c>
      <c r="O388" s="12"/>
      <c r="P388" s="12"/>
      <c r="Q388" s="12"/>
      <c r="R388" s="12" t="s">
        <v>63</v>
      </c>
      <c r="S388" s="12"/>
    </row>
    <row r="389" spans="1:19" x14ac:dyDescent="0.25">
      <c r="A389" s="5" t="s">
        <v>883</v>
      </c>
      <c r="B389" s="5" t="s">
        <v>884</v>
      </c>
      <c r="C389" s="6">
        <v>19.899999999999999</v>
      </c>
      <c r="D389" s="6">
        <v>6.8</v>
      </c>
      <c r="E389" s="6">
        <v>2.7</v>
      </c>
      <c r="F389" s="6">
        <v>4.3999999999999997E-2</v>
      </c>
      <c r="G389" s="5"/>
      <c r="H389" s="7" t="s">
        <v>61</v>
      </c>
      <c r="I389" s="5" t="s">
        <v>62</v>
      </c>
      <c r="J389" s="5" t="str">
        <f>IF(COUNTIF(packages_master!$A:$A,A389)&gt;0,"Y","N")</f>
        <v>N</v>
      </c>
      <c r="K389" s="5" t="str">
        <f t="shared" si="28"/>
        <v/>
      </c>
      <c r="L389" s="5" t="str">
        <f t="shared" si="29"/>
        <v/>
      </c>
      <c r="M389" s="5" t="str">
        <f t="shared" si="30"/>
        <v>NORMAL</v>
      </c>
      <c r="N389" s="5" t="str">
        <f t="shared" si="31"/>
        <v/>
      </c>
      <c r="O389" s="12">
        <v>100</v>
      </c>
      <c r="P389" s="12" t="s">
        <v>885</v>
      </c>
      <c r="Q389" s="12" t="s">
        <v>886</v>
      </c>
      <c r="R389" s="12" t="s">
        <v>61</v>
      </c>
      <c r="S389" s="12" t="s">
        <v>887</v>
      </c>
    </row>
    <row r="390" spans="1:19" x14ac:dyDescent="0.25">
      <c r="A390" s="5" t="s">
        <v>888</v>
      </c>
      <c r="B390" s="5" t="s">
        <v>889</v>
      </c>
      <c r="C390" s="6">
        <v>19.899999999999999</v>
      </c>
      <c r="D390" s="6">
        <v>6.8</v>
      </c>
      <c r="E390" s="6">
        <v>2.7</v>
      </c>
      <c r="F390" s="6">
        <v>4.3999999999999997E-2</v>
      </c>
      <c r="G390" s="5"/>
      <c r="H390" s="7" t="s">
        <v>61</v>
      </c>
      <c r="I390" s="5" t="s">
        <v>62</v>
      </c>
      <c r="J390" s="5" t="str">
        <f>IF(COUNTIF(packages_master!$A:$A,A390)&gt;0,"Y","N")</f>
        <v>N</v>
      </c>
      <c r="K390" s="5" t="str">
        <f t="shared" si="28"/>
        <v/>
      </c>
      <c r="L390" s="5" t="str">
        <f t="shared" si="29"/>
        <v/>
      </c>
      <c r="M390" s="5" t="str">
        <f t="shared" si="30"/>
        <v>NORMAL</v>
      </c>
      <c r="N390" s="5" t="str">
        <f t="shared" si="31"/>
        <v/>
      </c>
      <c r="O390" s="12"/>
      <c r="P390" s="12"/>
      <c r="Q390" s="12"/>
      <c r="R390" s="12" t="s">
        <v>63</v>
      </c>
      <c r="S390" s="12"/>
    </row>
    <row r="391" spans="1:19" x14ac:dyDescent="0.25">
      <c r="A391" s="5" t="s">
        <v>890</v>
      </c>
      <c r="B391" s="5" t="s">
        <v>891</v>
      </c>
      <c r="C391" s="6">
        <v>19.899999999999999</v>
      </c>
      <c r="D391" s="6">
        <v>6.8</v>
      </c>
      <c r="E391" s="6">
        <v>2.7</v>
      </c>
      <c r="F391" s="6">
        <v>4.3999999999999997E-2</v>
      </c>
      <c r="G391" s="5"/>
      <c r="H391" s="7" t="s">
        <v>61</v>
      </c>
      <c r="I391" s="5" t="s">
        <v>62</v>
      </c>
      <c r="J391" s="5" t="str">
        <f>IF(COUNTIF(packages_master!$A:$A,A391)&gt;0,"Y","N")</f>
        <v>N</v>
      </c>
      <c r="K391" s="5" t="str">
        <f t="shared" si="28"/>
        <v/>
      </c>
      <c r="L391" s="5" t="str">
        <f t="shared" si="29"/>
        <v/>
      </c>
      <c r="M391" s="5" t="str">
        <f t="shared" si="30"/>
        <v>NORMAL</v>
      </c>
      <c r="N391" s="5" t="str">
        <f t="shared" si="31"/>
        <v/>
      </c>
      <c r="O391" s="12">
        <v>100</v>
      </c>
      <c r="P391" s="12" t="s">
        <v>885</v>
      </c>
      <c r="Q391" s="12" t="s">
        <v>886</v>
      </c>
      <c r="R391" s="12" t="s">
        <v>61</v>
      </c>
      <c r="S391" s="12" t="s">
        <v>887</v>
      </c>
    </row>
    <row r="392" spans="1:19" x14ac:dyDescent="0.25">
      <c r="A392" s="5" t="s">
        <v>892</v>
      </c>
      <c r="B392" s="5" t="s">
        <v>893</v>
      </c>
      <c r="C392" s="6">
        <v>19.899999999999999</v>
      </c>
      <c r="D392" s="6">
        <v>6.8</v>
      </c>
      <c r="E392" s="6">
        <v>2.7</v>
      </c>
      <c r="F392" s="6">
        <v>4.3999999999999997E-2</v>
      </c>
      <c r="G392" s="5"/>
      <c r="H392" s="7" t="s">
        <v>61</v>
      </c>
      <c r="I392" s="5" t="s">
        <v>62</v>
      </c>
      <c r="J392" s="5" t="str">
        <f>IF(COUNTIF(packages_master!$A:$A,A392)&gt;0,"Y","N")</f>
        <v>N</v>
      </c>
      <c r="K392" s="5" t="str">
        <f t="shared" si="28"/>
        <v/>
      </c>
      <c r="L392" s="5" t="str">
        <f t="shared" si="29"/>
        <v/>
      </c>
      <c r="M392" s="5" t="str">
        <f t="shared" si="30"/>
        <v>NORMAL</v>
      </c>
      <c r="N392" s="5" t="str">
        <f t="shared" si="31"/>
        <v/>
      </c>
      <c r="O392" s="12"/>
      <c r="P392" s="12"/>
      <c r="Q392" s="12"/>
      <c r="R392" s="12" t="s">
        <v>63</v>
      </c>
      <c r="S392" s="12"/>
    </row>
    <row r="393" spans="1:19" x14ac:dyDescent="0.25">
      <c r="A393" s="5" t="s">
        <v>894</v>
      </c>
      <c r="B393" s="5" t="s">
        <v>895</v>
      </c>
      <c r="C393" s="6">
        <v>19.899999999999999</v>
      </c>
      <c r="D393" s="6">
        <v>6.8</v>
      </c>
      <c r="E393" s="6">
        <v>2.7</v>
      </c>
      <c r="F393" s="6">
        <v>4.3999999999999997E-2</v>
      </c>
      <c r="G393" s="5"/>
      <c r="H393" s="7" t="s">
        <v>61</v>
      </c>
      <c r="I393" s="5" t="s">
        <v>62</v>
      </c>
      <c r="J393" s="5" t="str">
        <f>IF(COUNTIF(packages_master!$A:$A,A393)&gt;0,"Y","N")</f>
        <v>N</v>
      </c>
      <c r="K393" s="5" t="str">
        <f t="shared" si="28"/>
        <v/>
      </c>
      <c r="L393" s="5" t="str">
        <f t="shared" si="29"/>
        <v/>
      </c>
      <c r="M393" s="5" t="str">
        <f t="shared" si="30"/>
        <v>NORMAL</v>
      </c>
      <c r="N393" s="5" t="str">
        <f t="shared" si="31"/>
        <v/>
      </c>
      <c r="O393" s="12">
        <v>100</v>
      </c>
      <c r="P393" s="12" t="s">
        <v>885</v>
      </c>
      <c r="Q393" s="12" t="s">
        <v>886</v>
      </c>
      <c r="R393" s="12" t="s">
        <v>61</v>
      </c>
      <c r="S393" s="12" t="s">
        <v>887</v>
      </c>
    </row>
    <row r="394" spans="1:19" x14ac:dyDescent="0.25">
      <c r="A394" s="5" t="s">
        <v>896</v>
      </c>
      <c r="B394" s="5" t="s">
        <v>290</v>
      </c>
      <c r="C394" s="6">
        <v>15.5</v>
      </c>
      <c r="D394" s="6">
        <v>6.3</v>
      </c>
      <c r="E394" s="6">
        <v>7.1</v>
      </c>
      <c r="F394" s="6">
        <v>0.52200000000000002</v>
      </c>
      <c r="G394" s="5"/>
      <c r="H394" s="7" t="s">
        <v>61</v>
      </c>
      <c r="I394" s="5" t="s">
        <v>62</v>
      </c>
      <c r="J394" s="5" t="str">
        <f>IF(COUNTIF(packages_master!$A:$A,A394)&gt;0,"Y","N")</f>
        <v>N</v>
      </c>
      <c r="K394" s="5" t="str">
        <f t="shared" ref="K394:K457" si="32">IF(G394&lt;&gt;"","BX010","")</f>
        <v/>
      </c>
      <c r="L394" s="5" t="str">
        <f t="shared" ref="L394:L457" si="33">IF(G394&lt;&gt;"",300,"")</f>
        <v/>
      </c>
      <c r="M394" s="5" t="str">
        <f t="shared" ref="M394:M457" si="34">IF(J394="Y","PACKAGE_SEALED",IF(G394&lt;&gt;"","SPECIAL_300","NORMAL"))</f>
        <v>NORMAL</v>
      </c>
      <c r="N394" s="5" t="str">
        <f t="shared" ref="N394:N457" si="35">IF(J394="Y","packages_master","")</f>
        <v/>
      </c>
      <c r="O394" s="12"/>
      <c r="P394" s="12"/>
      <c r="Q394" s="12"/>
      <c r="R394" s="12" t="s">
        <v>63</v>
      </c>
      <c r="S394" s="12"/>
    </row>
    <row r="395" spans="1:19" x14ac:dyDescent="0.25">
      <c r="A395" s="5" t="s">
        <v>897</v>
      </c>
      <c r="B395" s="5" t="s">
        <v>898</v>
      </c>
      <c r="C395" s="6">
        <v>16.600000000000001</v>
      </c>
      <c r="D395" s="6">
        <v>7.5</v>
      </c>
      <c r="E395" s="6">
        <v>4.4000000000000004</v>
      </c>
      <c r="F395" s="6">
        <v>0.1</v>
      </c>
      <c r="G395" s="5"/>
      <c r="H395" s="7" t="s">
        <v>61</v>
      </c>
      <c r="I395" s="5" t="s">
        <v>62</v>
      </c>
      <c r="J395" s="5" t="str">
        <f>IF(COUNTIF(packages_master!$A:$A,A395)&gt;0,"Y","N")</f>
        <v>N</v>
      </c>
      <c r="K395" s="5" t="str">
        <f t="shared" si="32"/>
        <v/>
      </c>
      <c r="L395" s="5" t="str">
        <f t="shared" si="33"/>
        <v/>
      </c>
      <c r="M395" s="5" t="str">
        <f t="shared" si="34"/>
        <v>NORMAL</v>
      </c>
      <c r="N395" s="5" t="str">
        <f t="shared" si="35"/>
        <v/>
      </c>
      <c r="O395" s="12"/>
      <c r="P395" s="12"/>
      <c r="Q395" s="12"/>
      <c r="R395" s="12" t="s">
        <v>63</v>
      </c>
      <c r="S395" s="12"/>
    </row>
    <row r="396" spans="1:19" x14ac:dyDescent="0.25">
      <c r="A396" s="5" t="s">
        <v>899</v>
      </c>
      <c r="B396" s="5" t="s">
        <v>900</v>
      </c>
      <c r="C396" s="6">
        <v>12.3</v>
      </c>
      <c r="D396" s="6">
        <v>8.3000000000000007</v>
      </c>
      <c r="E396" s="8">
        <v>6</v>
      </c>
      <c r="F396" s="6">
        <v>0.22</v>
      </c>
      <c r="G396" s="5"/>
      <c r="H396" s="7" t="s">
        <v>61</v>
      </c>
      <c r="I396" s="5" t="s">
        <v>62</v>
      </c>
      <c r="J396" s="5" t="str">
        <f>IF(COUNTIF(packages_master!$A:$A,A396)&gt;0,"Y","N")</f>
        <v>N</v>
      </c>
      <c r="K396" s="5" t="str">
        <f t="shared" si="32"/>
        <v/>
      </c>
      <c r="L396" s="5" t="str">
        <f t="shared" si="33"/>
        <v/>
      </c>
      <c r="M396" s="5" t="str">
        <f t="shared" si="34"/>
        <v>NORMAL</v>
      </c>
      <c r="N396" s="5" t="str">
        <f t="shared" si="35"/>
        <v/>
      </c>
      <c r="O396" s="12"/>
      <c r="P396" s="12"/>
      <c r="Q396" s="12"/>
      <c r="R396" s="12" t="s">
        <v>63</v>
      </c>
      <c r="S396" s="12"/>
    </row>
    <row r="397" spans="1:19" x14ac:dyDescent="0.25">
      <c r="A397" s="5" t="s">
        <v>901</v>
      </c>
      <c r="B397" s="5" t="s">
        <v>453</v>
      </c>
      <c r="C397" s="6">
        <v>11.5</v>
      </c>
      <c r="D397" s="6">
        <v>9.6</v>
      </c>
      <c r="E397" s="6">
        <v>8.1999999999999993</v>
      </c>
      <c r="F397" s="6">
        <v>0.26600000000000001</v>
      </c>
      <c r="G397" s="5"/>
      <c r="H397" s="7" t="s">
        <v>61</v>
      </c>
      <c r="I397" s="5" t="s">
        <v>62</v>
      </c>
      <c r="J397" s="5" t="str">
        <f>IF(COUNTIF(packages_master!$A:$A,A397)&gt;0,"Y","N")</f>
        <v>N</v>
      </c>
      <c r="K397" s="5" t="str">
        <f t="shared" si="32"/>
        <v/>
      </c>
      <c r="L397" s="5" t="str">
        <f t="shared" si="33"/>
        <v/>
      </c>
      <c r="M397" s="5" t="str">
        <f t="shared" si="34"/>
        <v>NORMAL</v>
      </c>
      <c r="N397" s="5" t="str">
        <f t="shared" si="35"/>
        <v/>
      </c>
      <c r="O397" s="12"/>
      <c r="P397" s="12"/>
      <c r="Q397" s="12"/>
      <c r="R397" s="12" t="s">
        <v>63</v>
      </c>
      <c r="S397" s="12"/>
    </row>
    <row r="398" spans="1:19" x14ac:dyDescent="0.25">
      <c r="A398" s="5" t="s">
        <v>902</v>
      </c>
      <c r="B398" s="5" t="s">
        <v>903</v>
      </c>
      <c r="C398" s="6">
        <v>19.7</v>
      </c>
      <c r="D398" s="6">
        <v>8.1</v>
      </c>
      <c r="E398" s="6">
        <v>2.5</v>
      </c>
      <c r="F398" s="6">
        <v>0.05</v>
      </c>
      <c r="G398" s="5"/>
      <c r="H398" s="7" t="s">
        <v>61</v>
      </c>
      <c r="I398" s="5" t="s">
        <v>62</v>
      </c>
      <c r="J398" s="5" t="str">
        <f>IF(COUNTIF(packages_master!$A:$A,A398)&gt;0,"Y","N")</f>
        <v>N</v>
      </c>
      <c r="K398" s="5" t="str">
        <f t="shared" si="32"/>
        <v/>
      </c>
      <c r="L398" s="5" t="str">
        <f t="shared" si="33"/>
        <v/>
      </c>
      <c r="M398" s="5" t="str">
        <f t="shared" si="34"/>
        <v>NORMAL</v>
      </c>
      <c r="N398" s="5" t="str">
        <f t="shared" si="35"/>
        <v/>
      </c>
      <c r="O398" s="12"/>
      <c r="P398" s="12"/>
      <c r="Q398" s="12"/>
      <c r="R398" s="12" t="s">
        <v>63</v>
      </c>
      <c r="S398" s="12"/>
    </row>
    <row r="399" spans="1:19" x14ac:dyDescent="0.25">
      <c r="A399" s="5" t="s">
        <v>904</v>
      </c>
      <c r="B399" s="5" t="s">
        <v>905</v>
      </c>
      <c r="C399" s="8">
        <v>19</v>
      </c>
      <c r="D399" s="6">
        <v>7.7</v>
      </c>
      <c r="E399" s="6">
        <v>3.8</v>
      </c>
      <c r="F399" s="6">
        <v>0.17799999999999999</v>
      </c>
      <c r="G399" s="5"/>
      <c r="H399" s="7" t="s">
        <v>61</v>
      </c>
      <c r="I399" s="5" t="s">
        <v>62</v>
      </c>
      <c r="J399" s="5" t="str">
        <f>IF(COUNTIF(packages_master!$A:$A,A399)&gt;0,"Y","N")</f>
        <v>N</v>
      </c>
      <c r="K399" s="5" t="str">
        <f t="shared" si="32"/>
        <v/>
      </c>
      <c r="L399" s="5" t="str">
        <f t="shared" si="33"/>
        <v/>
      </c>
      <c r="M399" s="5" t="str">
        <f t="shared" si="34"/>
        <v>NORMAL</v>
      </c>
      <c r="N399" s="5" t="str">
        <f t="shared" si="35"/>
        <v/>
      </c>
      <c r="O399" s="12"/>
      <c r="P399" s="12"/>
      <c r="Q399" s="12"/>
      <c r="R399" s="12" t="s">
        <v>63</v>
      </c>
      <c r="S399" s="12"/>
    </row>
    <row r="400" spans="1:19" x14ac:dyDescent="0.25">
      <c r="A400" s="5" t="s">
        <v>906</v>
      </c>
      <c r="B400" s="5" t="s">
        <v>907</v>
      </c>
      <c r="C400" s="6">
        <v>19.399999999999999</v>
      </c>
      <c r="D400" s="6">
        <v>7.2</v>
      </c>
      <c r="E400" s="6">
        <v>2.9</v>
      </c>
      <c r="F400" s="6">
        <v>5.6000000000000001E-2</v>
      </c>
      <c r="G400" s="5"/>
      <c r="H400" s="7" t="s">
        <v>61</v>
      </c>
      <c r="I400" s="5" t="s">
        <v>62</v>
      </c>
      <c r="J400" s="5" t="str">
        <f>IF(COUNTIF(packages_master!$A:$A,A400)&gt;0,"Y","N")</f>
        <v>N</v>
      </c>
      <c r="K400" s="5" t="str">
        <f t="shared" si="32"/>
        <v/>
      </c>
      <c r="L400" s="5" t="str">
        <f t="shared" si="33"/>
        <v/>
      </c>
      <c r="M400" s="5" t="str">
        <f t="shared" si="34"/>
        <v>NORMAL</v>
      </c>
      <c r="N400" s="5" t="str">
        <f t="shared" si="35"/>
        <v/>
      </c>
      <c r="O400" s="12"/>
      <c r="P400" s="12"/>
      <c r="Q400" s="12"/>
      <c r="R400" s="12" t="s">
        <v>63</v>
      </c>
      <c r="S400" s="12"/>
    </row>
    <row r="401" spans="1:19" x14ac:dyDescent="0.25">
      <c r="A401" s="5" t="s">
        <v>908</v>
      </c>
      <c r="B401" s="5" t="s">
        <v>909</v>
      </c>
      <c r="C401" s="6">
        <v>18.399999999999999</v>
      </c>
      <c r="D401" s="6">
        <v>14.6</v>
      </c>
      <c r="E401" s="6">
        <v>3.3</v>
      </c>
      <c r="F401" s="6">
        <v>0.33400000000000002</v>
      </c>
      <c r="G401" s="5"/>
      <c r="H401" s="7" t="s">
        <v>61</v>
      </c>
      <c r="I401" s="5" t="s">
        <v>62</v>
      </c>
      <c r="J401" s="5" t="str">
        <f>IF(COUNTIF(packages_master!$A:$A,A401)&gt;0,"Y","N")</f>
        <v>N</v>
      </c>
      <c r="K401" s="5" t="str">
        <f t="shared" si="32"/>
        <v/>
      </c>
      <c r="L401" s="5" t="str">
        <f t="shared" si="33"/>
        <v/>
      </c>
      <c r="M401" s="5" t="str">
        <f t="shared" si="34"/>
        <v>NORMAL</v>
      </c>
      <c r="N401" s="5" t="str">
        <f t="shared" si="35"/>
        <v/>
      </c>
      <c r="O401" s="12"/>
      <c r="P401" s="12"/>
      <c r="Q401" s="12"/>
      <c r="R401" s="12" t="s">
        <v>63</v>
      </c>
      <c r="S401" s="12"/>
    </row>
    <row r="402" spans="1:19" x14ac:dyDescent="0.25">
      <c r="A402" s="5" t="s">
        <v>910</v>
      </c>
      <c r="B402" s="5" t="s">
        <v>911</v>
      </c>
      <c r="C402" s="6">
        <v>10.4</v>
      </c>
      <c r="D402" s="6">
        <v>4.2</v>
      </c>
      <c r="E402" s="6">
        <v>4.0999999999999996</v>
      </c>
      <c r="F402" s="6">
        <v>0.108</v>
      </c>
      <c r="G402" s="5"/>
      <c r="H402" s="7" t="s">
        <v>61</v>
      </c>
      <c r="I402" s="5" t="s">
        <v>62</v>
      </c>
      <c r="J402" s="5" t="str">
        <f>IF(COUNTIF(packages_master!$A:$A,A402)&gt;0,"Y","N")</f>
        <v>N</v>
      </c>
      <c r="K402" s="5" t="str">
        <f t="shared" si="32"/>
        <v/>
      </c>
      <c r="L402" s="5" t="str">
        <f t="shared" si="33"/>
        <v/>
      </c>
      <c r="M402" s="5" t="str">
        <f t="shared" si="34"/>
        <v>NORMAL</v>
      </c>
      <c r="N402" s="5" t="str">
        <f t="shared" si="35"/>
        <v/>
      </c>
      <c r="O402" s="12"/>
      <c r="P402" s="12"/>
      <c r="Q402" s="12"/>
      <c r="R402" s="12" t="s">
        <v>63</v>
      </c>
      <c r="S402" s="12"/>
    </row>
    <row r="403" spans="1:19" x14ac:dyDescent="0.25">
      <c r="A403" s="5" t="s">
        <v>912</v>
      </c>
      <c r="B403" s="5" t="s">
        <v>913</v>
      </c>
      <c r="C403" s="5"/>
      <c r="D403" s="5"/>
      <c r="E403" s="5"/>
      <c r="F403" s="6">
        <v>2.8000000000000001E-2</v>
      </c>
      <c r="G403" s="5"/>
      <c r="H403" s="7" t="s">
        <v>61</v>
      </c>
      <c r="I403" s="5" t="s">
        <v>62</v>
      </c>
      <c r="J403" s="5" t="str">
        <f>IF(COUNTIF(packages_master!$A:$A,A403)&gt;0,"Y","N")</f>
        <v>N</v>
      </c>
      <c r="K403" s="5" t="str">
        <f t="shared" si="32"/>
        <v/>
      </c>
      <c r="L403" s="5" t="str">
        <f t="shared" si="33"/>
        <v/>
      </c>
      <c r="M403" s="5" t="str">
        <f t="shared" si="34"/>
        <v>NORMAL</v>
      </c>
      <c r="N403" s="5" t="str">
        <f t="shared" si="35"/>
        <v/>
      </c>
      <c r="O403" s="12"/>
      <c r="P403" s="12"/>
      <c r="Q403" s="12"/>
      <c r="R403" s="12" t="s">
        <v>63</v>
      </c>
      <c r="S403" s="12"/>
    </row>
    <row r="404" spans="1:19" x14ac:dyDescent="0.25">
      <c r="A404" s="5" t="s">
        <v>914</v>
      </c>
      <c r="B404" s="5" t="s">
        <v>915</v>
      </c>
      <c r="C404" s="5"/>
      <c r="D404" s="5"/>
      <c r="E404" s="5"/>
      <c r="F404" s="6">
        <v>3.2000000000000001E-2</v>
      </c>
      <c r="G404" s="5"/>
      <c r="H404" s="7" t="s">
        <v>61</v>
      </c>
      <c r="I404" s="5" t="s">
        <v>62</v>
      </c>
      <c r="J404" s="5" t="str">
        <f>IF(COUNTIF(packages_master!$A:$A,A404)&gt;0,"Y","N")</f>
        <v>N</v>
      </c>
      <c r="K404" s="5" t="str">
        <f t="shared" si="32"/>
        <v/>
      </c>
      <c r="L404" s="5" t="str">
        <f t="shared" si="33"/>
        <v/>
      </c>
      <c r="M404" s="5" t="str">
        <f t="shared" si="34"/>
        <v>NORMAL</v>
      </c>
      <c r="N404" s="5" t="str">
        <f t="shared" si="35"/>
        <v/>
      </c>
      <c r="O404" s="12"/>
      <c r="P404" s="12"/>
      <c r="Q404" s="12"/>
      <c r="R404" s="12" t="s">
        <v>63</v>
      </c>
      <c r="S404" s="12"/>
    </row>
    <row r="405" spans="1:19" x14ac:dyDescent="0.25">
      <c r="A405" s="5" t="s">
        <v>916</v>
      </c>
      <c r="B405" s="5" t="s">
        <v>917</v>
      </c>
      <c r="C405" s="6">
        <v>9.1999999999999993</v>
      </c>
      <c r="D405" s="6">
        <v>4.3</v>
      </c>
      <c r="E405" s="8">
        <v>5</v>
      </c>
      <c r="F405" s="6">
        <v>0.08</v>
      </c>
      <c r="G405" s="5"/>
      <c r="H405" s="7" t="s">
        <v>61</v>
      </c>
      <c r="I405" s="5" t="s">
        <v>62</v>
      </c>
      <c r="J405" s="5" t="str">
        <f>IF(COUNTIF(packages_master!$A:$A,A405)&gt;0,"Y","N")</f>
        <v>N</v>
      </c>
      <c r="K405" s="5" t="str">
        <f t="shared" si="32"/>
        <v/>
      </c>
      <c r="L405" s="5" t="str">
        <f t="shared" si="33"/>
        <v/>
      </c>
      <c r="M405" s="5" t="str">
        <f t="shared" si="34"/>
        <v>NORMAL</v>
      </c>
      <c r="N405" s="5" t="str">
        <f t="shared" si="35"/>
        <v/>
      </c>
      <c r="O405" s="12"/>
      <c r="P405" s="12"/>
      <c r="Q405" s="12"/>
      <c r="R405" s="12" t="s">
        <v>63</v>
      </c>
      <c r="S405" s="12"/>
    </row>
    <row r="406" spans="1:19" x14ac:dyDescent="0.25">
      <c r="A406" s="5" t="s">
        <v>918</v>
      </c>
      <c r="B406" s="5" t="s">
        <v>919</v>
      </c>
      <c r="C406" s="6">
        <v>19.2</v>
      </c>
      <c r="D406" s="6">
        <v>7.1</v>
      </c>
      <c r="E406" s="6">
        <v>2.6</v>
      </c>
      <c r="F406" s="6">
        <v>4.2999999999999997E-2</v>
      </c>
      <c r="G406" s="5"/>
      <c r="H406" s="7" t="s">
        <v>61</v>
      </c>
      <c r="I406" s="5" t="s">
        <v>62</v>
      </c>
      <c r="J406" s="5" t="str">
        <f>IF(COUNTIF(packages_master!$A:$A,A406)&gt;0,"Y","N")</f>
        <v>N</v>
      </c>
      <c r="K406" s="5" t="str">
        <f t="shared" si="32"/>
        <v/>
      </c>
      <c r="L406" s="5" t="str">
        <f t="shared" si="33"/>
        <v/>
      </c>
      <c r="M406" s="5" t="str">
        <f t="shared" si="34"/>
        <v>NORMAL</v>
      </c>
      <c r="N406" s="5" t="str">
        <f t="shared" si="35"/>
        <v/>
      </c>
      <c r="O406" s="12"/>
      <c r="P406" s="12"/>
      <c r="Q406" s="12"/>
      <c r="R406" s="12" t="s">
        <v>63</v>
      </c>
      <c r="S406" s="12"/>
    </row>
    <row r="407" spans="1:19" x14ac:dyDescent="0.25">
      <c r="A407" s="5" t="s">
        <v>920</v>
      </c>
      <c r="B407" s="5" t="s">
        <v>921</v>
      </c>
      <c r="C407" s="6">
        <v>19.2</v>
      </c>
      <c r="D407" s="6">
        <v>7.1</v>
      </c>
      <c r="E407" s="6">
        <v>2.6</v>
      </c>
      <c r="F407" s="6">
        <v>4.2999999999999997E-2</v>
      </c>
      <c r="G407" s="5"/>
      <c r="H407" s="7" t="s">
        <v>61</v>
      </c>
      <c r="I407" s="5" t="s">
        <v>62</v>
      </c>
      <c r="J407" s="5" t="str">
        <f>IF(COUNTIF(packages_master!$A:$A,A407)&gt;0,"Y","N")</f>
        <v>N</v>
      </c>
      <c r="K407" s="5" t="str">
        <f t="shared" si="32"/>
        <v/>
      </c>
      <c r="L407" s="5" t="str">
        <f t="shared" si="33"/>
        <v/>
      </c>
      <c r="M407" s="5" t="str">
        <f t="shared" si="34"/>
        <v>NORMAL</v>
      </c>
      <c r="N407" s="5" t="str">
        <f t="shared" si="35"/>
        <v/>
      </c>
      <c r="O407" s="12"/>
      <c r="P407" s="12"/>
      <c r="Q407" s="12"/>
      <c r="R407" s="12" t="s">
        <v>63</v>
      </c>
      <c r="S407" s="12"/>
    </row>
    <row r="408" spans="1:19" x14ac:dyDescent="0.25">
      <c r="A408" s="5" t="s">
        <v>922</v>
      </c>
      <c r="B408" s="5" t="s">
        <v>502</v>
      </c>
      <c r="C408" s="6">
        <v>9.6999999999999993</v>
      </c>
      <c r="D408" s="6">
        <v>5.5</v>
      </c>
      <c r="E408" s="6">
        <v>4.4000000000000004</v>
      </c>
      <c r="F408" s="6">
        <v>3.9E-2</v>
      </c>
      <c r="G408" s="5"/>
      <c r="H408" s="7" t="s">
        <v>61</v>
      </c>
      <c r="I408" s="5" t="s">
        <v>62</v>
      </c>
      <c r="J408" s="5" t="str">
        <f>IF(COUNTIF(packages_master!$A:$A,A408)&gt;0,"Y","N")</f>
        <v>N</v>
      </c>
      <c r="K408" s="5" t="str">
        <f t="shared" si="32"/>
        <v/>
      </c>
      <c r="L408" s="5" t="str">
        <f t="shared" si="33"/>
        <v/>
      </c>
      <c r="M408" s="5" t="str">
        <f t="shared" si="34"/>
        <v>NORMAL</v>
      </c>
      <c r="N408" s="5" t="str">
        <f t="shared" si="35"/>
        <v/>
      </c>
      <c r="O408" s="12"/>
      <c r="P408" s="12"/>
      <c r="Q408" s="12"/>
      <c r="R408" s="12" t="s">
        <v>63</v>
      </c>
      <c r="S408" s="12"/>
    </row>
    <row r="409" spans="1:19" x14ac:dyDescent="0.25">
      <c r="A409" s="5" t="s">
        <v>923</v>
      </c>
      <c r="B409" s="5" t="s">
        <v>924</v>
      </c>
      <c r="C409" s="5"/>
      <c r="D409" s="5"/>
      <c r="E409" s="5"/>
      <c r="F409" s="6">
        <v>3.3000000000000002E-2</v>
      </c>
      <c r="G409" s="5"/>
      <c r="H409" s="7" t="s">
        <v>61</v>
      </c>
      <c r="I409" s="5" t="s">
        <v>62</v>
      </c>
      <c r="J409" s="5" t="str">
        <f>IF(COUNTIF(packages_master!$A:$A,A409)&gt;0,"Y","N")</f>
        <v>N</v>
      </c>
      <c r="K409" s="5" t="str">
        <f t="shared" si="32"/>
        <v/>
      </c>
      <c r="L409" s="5" t="str">
        <f t="shared" si="33"/>
        <v/>
      </c>
      <c r="M409" s="5" t="str">
        <f t="shared" si="34"/>
        <v>NORMAL</v>
      </c>
      <c r="N409" s="5" t="str">
        <f t="shared" si="35"/>
        <v/>
      </c>
      <c r="O409" s="12"/>
      <c r="P409" s="12"/>
      <c r="Q409" s="12"/>
      <c r="R409" s="12" t="s">
        <v>63</v>
      </c>
      <c r="S409" s="12"/>
    </row>
    <row r="410" spans="1:19" x14ac:dyDescent="0.25">
      <c r="A410" s="5" t="s">
        <v>679</v>
      </c>
      <c r="B410" s="5" t="s">
        <v>680</v>
      </c>
      <c r="C410" s="8">
        <v>18</v>
      </c>
      <c r="D410" s="8">
        <v>8</v>
      </c>
      <c r="E410" s="6">
        <v>5.9</v>
      </c>
      <c r="F410" s="6">
        <v>0.20499999999999999</v>
      </c>
      <c r="G410" s="5"/>
      <c r="H410" s="7" t="s">
        <v>61</v>
      </c>
      <c r="I410" s="5" t="s">
        <v>62</v>
      </c>
      <c r="J410" s="5" t="str">
        <f>IF(COUNTIF(packages_master!$A:$A,A410)&gt;0,"Y","N")</f>
        <v>N</v>
      </c>
      <c r="K410" s="5" t="str">
        <f t="shared" si="32"/>
        <v/>
      </c>
      <c r="L410" s="5" t="str">
        <f t="shared" si="33"/>
        <v/>
      </c>
      <c r="M410" s="5" t="str">
        <f t="shared" si="34"/>
        <v>NORMAL</v>
      </c>
      <c r="N410" s="5" t="str">
        <f t="shared" si="35"/>
        <v/>
      </c>
      <c r="O410" s="12">
        <v>36</v>
      </c>
      <c r="P410" s="12" t="s">
        <v>681</v>
      </c>
      <c r="Q410" s="12" t="s">
        <v>682</v>
      </c>
      <c r="R410" s="12" t="s">
        <v>61</v>
      </c>
      <c r="S410" s="12" t="s">
        <v>683</v>
      </c>
    </row>
    <row r="411" spans="1:19" x14ac:dyDescent="0.25">
      <c r="A411" s="5" t="s">
        <v>925</v>
      </c>
      <c r="B411" s="5" t="s">
        <v>926</v>
      </c>
      <c r="C411" s="8">
        <v>20</v>
      </c>
      <c r="D411" s="6">
        <v>8.8000000000000007</v>
      </c>
      <c r="E411" s="6">
        <v>2.8</v>
      </c>
      <c r="F411" s="6">
        <v>5.2999999999999999E-2</v>
      </c>
      <c r="G411" s="5"/>
      <c r="H411" s="7" t="s">
        <v>61</v>
      </c>
      <c r="I411" s="5" t="s">
        <v>62</v>
      </c>
      <c r="J411" s="5" t="str">
        <f>IF(COUNTIF(packages_master!$A:$A,A411)&gt;0,"Y","N")</f>
        <v>N</v>
      </c>
      <c r="K411" s="5" t="str">
        <f t="shared" si="32"/>
        <v/>
      </c>
      <c r="L411" s="5" t="str">
        <f t="shared" si="33"/>
        <v/>
      </c>
      <c r="M411" s="5" t="str">
        <f t="shared" si="34"/>
        <v>NORMAL</v>
      </c>
      <c r="N411" s="5" t="str">
        <f t="shared" si="35"/>
        <v/>
      </c>
      <c r="O411" s="12"/>
      <c r="P411" s="12"/>
      <c r="Q411" s="12"/>
      <c r="R411" s="12" t="s">
        <v>63</v>
      </c>
      <c r="S411" s="12"/>
    </row>
    <row r="412" spans="1:19" x14ac:dyDescent="0.25">
      <c r="A412" s="5" t="s">
        <v>927</v>
      </c>
      <c r="B412" s="5" t="s">
        <v>928</v>
      </c>
      <c r="C412" s="6">
        <v>19.2</v>
      </c>
      <c r="D412" s="6">
        <v>7.1</v>
      </c>
      <c r="E412" s="6">
        <v>2.5</v>
      </c>
      <c r="F412" s="6">
        <v>4.7E-2</v>
      </c>
      <c r="G412" s="5"/>
      <c r="H412" s="7" t="s">
        <v>61</v>
      </c>
      <c r="I412" s="5" t="s">
        <v>62</v>
      </c>
      <c r="J412" s="5" t="str">
        <f>IF(COUNTIF(packages_master!$A:$A,A412)&gt;0,"Y","N")</f>
        <v>N</v>
      </c>
      <c r="K412" s="5" t="str">
        <f t="shared" si="32"/>
        <v/>
      </c>
      <c r="L412" s="5" t="str">
        <f t="shared" si="33"/>
        <v/>
      </c>
      <c r="M412" s="5" t="str">
        <f t="shared" si="34"/>
        <v>NORMAL</v>
      </c>
      <c r="N412" s="5" t="str">
        <f t="shared" si="35"/>
        <v/>
      </c>
      <c r="O412" s="12"/>
      <c r="P412" s="12"/>
      <c r="Q412" s="12"/>
      <c r="R412" s="12" t="s">
        <v>63</v>
      </c>
      <c r="S412" s="12"/>
    </row>
    <row r="413" spans="1:19" x14ac:dyDescent="0.25">
      <c r="A413" s="5" t="s">
        <v>929</v>
      </c>
      <c r="B413" s="5" t="s">
        <v>930</v>
      </c>
      <c r="C413" s="6">
        <v>19.2</v>
      </c>
      <c r="D413" s="6">
        <v>7.1</v>
      </c>
      <c r="E413" s="6">
        <v>2.5</v>
      </c>
      <c r="F413" s="6">
        <v>4.7E-2</v>
      </c>
      <c r="G413" s="5"/>
      <c r="H413" s="7" t="s">
        <v>61</v>
      </c>
      <c r="I413" s="5" t="s">
        <v>62</v>
      </c>
      <c r="J413" s="5" t="str">
        <f>IF(COUNTIF(packages_master!$A:$A,A413)&gt;0,"Y","N")</f>
        <v>N</v>
      </c>
      <c r="K413" s="5" t="str">
        <f t="shared" si="32"/>
        <v/>
      </c>
      <c r="L413" s="5" t="str">
        <f t="shared" si="33"/>
        <v/>
      </c>
      <c r="M413" s="5" t="str">
        <f t="shared" si="34"/>
        <v>NORMAL</v>
      </c>
      <c r="N413" s="5" t="str">
        <f t="shared" si="35"/>
        <v/>
      </c>
      <c r="O413" s="12"/>
      <c r="P413" s="12"/>
      <c r="Q413" s="12"/>
      <c r="R413" s="12" t="s">
        <v>63</v>
      </c>
      <c r="S413" s="12"/>
    </row>
    <row r="414" spans="1:19" x14ac:dyDescent="0.25">
      <c r="A414" s="5" t="s">
        <v>931</v>
      </c>
      <c r="B414" s="5" t="s">
        <v>932</v>
      </c>
      <c r="C414" s="6">
        <v>13.6</v>
      </c>
      <c r="D414" s="6">
        <v>8.8000000000000007</v>
      </c>
      <c r="E414" s="6">
        <v>4.8</v>
      </c>
      <c r="F414" s="6">
        <v>0.16900000000000001</v>
      </c>
      <c r="G414" s="5"/>
      <c r="H414" s="7" t="s">
        <v>61</v>
      </c>
      <c r="I414" s="5" t="s">
        <v>62</v>
      </c>
      <c r="J414" s="5" t="str">
        <f>IF(COUNTIF(packages_master!$A:$A,A414)&gt;0,"Y","N")</f>
        <v>N</v>
      </c>
      <c r="K414" s="5" t="str">
        <f t="shared" si="32"/>
        <v/>
      </c>
      <c r="L414" s="5" t="str">
        <f t="shared" si="33"/>
        <v/>
      </c>
      <c r="M414" s="5" t="str">
        <f t="shared" si="34"/>
        <v>NORMAL</v>
      </c>
      <c r="N414" s="5" t="str">
        <f t="shared" si="35"/>
        <v/>
      </c>
      <c r="O414" s="12"/>
      <c r="P414" s="12"/>
      <c r="Q414" s="12"/>
      <c r="R414" s="12" t="s">
        <v>63</v>
      </c>
      <c r="S414" s="12"/>
    </row>
    <row r="415" spans="1:19" x14ac:dyDescent="0.25">
      <c r="A415" s="5" t="s">
        <v>933</v>
      </c>
      <c r="B415" s="5" t="s">
        <v>934</v>
      </c>
      <c r="C415" s="6">
        <v>11.8</v>
      </c>
      <c r="D415" s="6">
        <v>7.8</v>
      </c>
      <c r="E415" s="6">
        <v>5.3</v>
      </c>
      <c r="F415" s="6">
        <v>0.17699999999999999</v>
      </c>
      <c r="G415" s="5"/>
      <c r="H415" s="7" t="s">
        <v>61</v>
      </c>
      <c r="I415" s="5" t="s">
        <v>62</v>
      </c>
      <c r="J415" s="5" t="str">
        <f>IF(COUNTIF(packages_master!$A:$A,A415)&gt;0,"Y","N")</f>
        <v>N</v>
      </c>
      <c r="K415" s="5" t="str">
        <f t="shared" si="32"/>
        <v/>
      </c>
      <c r="L415" s="5" t="str">
        <f t="shared" si="33"/>
        <v/>
      </c>
      <c r="M415" s="5" t="str">
        <f t="shared" si="34"/>
        <v>NORMAL</v>
      </c>
      <c r="N415" s="5" t="str">
        <f t="shared" si="35"/>
        <v/>
      </c>
      <c r="O415" s="12"/>
      <c r="P415" s="12"/>
      <c r="Q415" s="12"/>
      <c r="R415" s="12" t="s">
        <v>63</v>
      </c>
      <c r="S415" s="12"/>
    </row>
    <row r="416" spans="1:19" x14ac:dyDescent="0.25">
      <c r="A416" s="5" t="s">
        <v>935</v>
      </c>
      <c r="B416" s="5" t="s">
        <v>936</v>
      </c>
      <c r="C416" s="6">
        <v>23.1</v>
      </c>
      <c r="D416" s="6">
        <v>12.9</v>
      </c>
      <c r="E416" s="6">
        <v>1.5</v>
      </c>
      <c r="F416" s="6">
        <v>0.16</v>
      </c>
      <c r="G416" s="5"/>
      <c r="H416" s="7" t="s">
        <v>61</v>
      </c>
      <c r="I416" s="5" t="s">
        <v>62</v>
      </c>
      <c r="J416" s="5" t="str">
        <f>IF(COUNTIF(packages_master!$A:$A,A416)&gt;0,"Y","N")</f>
        <v>N</v>
      </c>
      <c r="K416" s="5" t="str">
        <f t="shared" si="32"/>
        <v/>
      </c>
      <c r="L416" s="5" t="str">
        <f t="shared" si="33"/>
        <v/>
      </c>
      <c r="M416" s="5" t="str">
        <f t="shared" si="34"/>
        <v>NORMAL</v>
      </c>
      <c r="N416" s="5" t="str">
        <f t="shared" si="35"/>
        <v/>
      </c>
      <c r="O416" s="12"/>
      <c r="P416" s="12"/>
      <c r="Q416" s="12"/>
      <c r="R416" s="12" t="s">
        <v>63</v>
      </c>
      <c r="S416" s="12"/>
    </row>
    <row r="417" spans="1:19" x14ac:dyDescent="0.25">
      <c r="A417" s="5" t="s">
        <v>937</v>
      </c>
      <c r="B417" s="5" t="s">
        <v>938</v>
      </c>
      <c r="C417" s="6">
        <v>19.100000000000001</v>
      </c>
      <c r="D417" s="6">
        <v>7.3</v>
      </c>
      <c r="E417" s="8">
        <v>5</v>
      </c>
      <c r="F417" s="6">
        <v>8.6999999999999994E-2</v>
      </c>
      <c r="G417" s="5"/>
      <c r="H417" s="7" t="s">
        <v>61</v>
      </c>
      <c r="I417" s="5" t="s">
        <v>62</v>
      </c>
      <c r="J417" s="5" t="str">
        <f>IF(COUNTIF(packages_master!$A:$A,A417)&gt;0,"Y","N")</f>
        <v>N</v>
      </c>
      <c r="K417" s="5" t="str">
        <f t="shared" si="32"/>
        <v/>
      </c>
      <c r="L417" s="5" t="str">
        <f t="shared" si="33"/>
        <v/>
      </c>
      <c r="M417" s="5" t="str">
        <f t="shared" si="34"/>
        <v>NORMAL</v>
      </c>
      <c r="N417" s="5" t="str">
        <f t="shared" si="35"/>
        <v/>
      </c>
      <c r="O417" s="12"/>
      <c r="P417" s="12"/>
      <c r="Q417" s="12"/>
      <c r="R417" s="12" t="s">
        <v>63</v>
      </c>
      <c r="S417" s="12"/>
    </row>
    <row r="418" spans="1:19" x14ac:dyDescent="0.25">
      <c r="A418" s="5" t="s">
        <v>939</v>
      </c>
      <c r="B418" s="5" t="s">
        <v>940</v>
      </c>
      <c r="C418" s="6">
        <v>19.100000000000001</v>
      </c>
      <c r="D418" s="6">
        <v>7.3</v>
      </c>
      <c r="E418" s="8">
        <v>5</v>
      </c>
      <c r="F418" s="6">
        <v>8.6999999999999994E-2</v>
      </c>
      <c r="G418" s="5"/>
      <c r="H418" s="7" t="s">
        <v>61</v>
      </c>
      <c r="I418" s="5" t="s">
        <v>62</v>
      </c>
      <c r="J418" s="5" t="str">
        <f>IF(COUNTIF(packages_master!$A:$A,A418)&gt;0,"Y","N")</f>
        <v>N</v>
      </c>
      <c r="K418" s="5" t="str">
        <f t="shared" si="32"/>
        <v/>
      </c>
      <c r="L418" s="5" t="str">
        <f t="shared" si="33"/>
        <v/>
      </c>
      <c r="M418" s="5" t="str">
        <f t="shared" si="34"/>
        <v>NORMAL</v>
      </c>
      <c r="N418" s="5" t="str">
        <f t="shared" si="35"/>
        <v/>
      </c>
      <c r="O418" s="12"/>
      <c r="P418" s="12"/>
      <c r="Q418" s="12"/>
      <c r="R418" s="12" t="s">
        <v>63</v>
      </c>
      <c r="S418" s="12"/>
    </row>
    <row r="419" spans="1:19" x14ac:dyDescent="0.25">
      <c r="A419" s="5" t="s">
        <v>941</v>
      </c>
      <c r="B419" s="5" t="s">
        <v>942</v>
      </c>
      <c r="C419" s="5"/>
      <c r="D419" s="5"/>
      <c r="E419" s="5"/>
      <c r="F419" s="6">
        <v>3.1E-2</v>
      </c>
      <c r="G419" s="5"/>
      <c r="H419" s="7" t="s">
        <v>61</v>
      </c>
      <c r="I419" s="5" t="s">
        <v>62</v>
      </c>
      <c r="J419" s="5" t="str">
        <f>IF(COUNTIF(packages_master!$A:$A,A419)&gt;0,"Y","N")</f>
        <v>N</v>
      </c>
      <c r="K419" s="5" t="str">
        <f t="shared" si="32"/>
        <v/>
      </c>
      <c r="L419" s="5" t="str">
        <f t="shared" si="33"/>
        <v/>
      </c>
      <c r="M419" s="5" t="str">
        <f t="shared" si="34"/>
        <v>NORMAL</v>
      </c>
      <c r="N419" s="5" t="str">
        <f t="shared" si="35"/>
        <v/>
      </c>
      <c r="O419" s="12"/>
      <c r="P419" s="12"/>
      <c r="Q419" s="12"/>
      <c r="R419" s="12" t="s">
        <v>63</v>
      </c>
      <c r="S419" s="12"/>
    </row>
    <row r="420" spans="1:19" x14ac:dyDescent="0.25">
      <c r="A420" s="5" t="s">
        <v>943</v>
      </c>
      <c r="B420" s="5" t="s">
        <v>944</v>
      </c>
      <c r="C420" s="6">
        <v>19.100000000000001</v>
      </c>
      <c r="D420" s="6">
        <v>7.3</v>
      </c>
      <c r="E420" s="8">
        <v>5</v>
      </c>
      <c r="F420" s="6">
        <v>8.6999999999999994E-2</v>
      </c>
      <c r="G420" s="5"/>
      <c r="H420" s="7" t="s">
        <v>61</v>
      </c>
      <c r="I420" s="5" t="s">
        <v>62</v>
      </c>
      <c r="J420" s="5" t="str">
        <f>IF(COUNTIF(packages_master!$A:$A,A420)&gt;0,"Y","N")</f>
        <v>N</v>
      </c>
      <c r="K420" s="5" t="str">
        <f t="shared" si="32"/>
        <v/>
      </c>
      <c r="L420" s="5" t="str">
        <f t="shared" si="33"/>
        <v/>
      </c>
      <c r="M420" s="5" t="str">
        <f t="shared" si="34"/>
        <v>NORMAL</v>
      </c>
      <c r="N420" s="5" t="str">
        <f t="shared" si="35"/>
        <v/>
      </c>
      <c r="O420" s="12"/>
      <c r="P420" s="12"/>
      <c r="Q420" s="12"/>
      <c r="R420" s="12" t="s">
        <v>63</v>
      </c>
      <c r="S420" s="12"/>
    </row>
    <row r="421" spans="1:19" x14ac:dyDescent="0.25">
      <c r="A421" s="5" t="s">
        <v>945</v>
      </c>
      <c r="B421" s="5" t="s">
        <v>946</v>
      </c>
      <c r="C421" s="6">
        <v>7.1</v>
      </c>
      <c r="D421" s="6">
        <v>4.8</v>
      </c>
      <c r="E421" s="6">
        <v>3.6</v>
      </c>
      <c r="F421" s="6">
        <v>2.5000000000000001E-2</v>
      </c>
      <c r="G421" s="5"/>
      <c r="H421" s="7" t="s">
        <v>61</v>
      </c>
      <c r="I421" s="5" t="s">
        <v>62</v>
      </c>
      <c r="J421" s="5" t="str">
        <f>IF(COUNTIF(packages_master!$A:$A,A421)&gt;0,"Y","N")</f>
        <v>N</v>
      </c>
      <c r="K421" s="5" t="str">
        <f t="shared" si="32"/>
        <v/>
      </c>
      <c r="L421" s="5" t="str">
        <f t="shared" si="33"/>
        <v/>
      </c>
      <c r="M421" s="5" t="str">
        <f t="shared" si="34"/>
        <v>NORMAL</v>
      </c>
      <c r="N421" s="5" t="str">
        <f t="shared" si="35"/>
        <v/>
      </c>
      <c r="O421" s="12"/>
      <c r="P421" s="12"/>
      <c r="Q421" s="12"/>
      <c r="R421" s="12" t="s">
        <v>63</v>
      </c>
      <c r="S421" s="12"/>
    </row>
    <row r="422" spans="1:19" x14ac:dyDescent="0.25">
      <c r="A422" s="5" t="s">
        <v>947</v>
      </c>
      <c r="B422" s="5" t="s">
        <v>948</v>
      </c>
      <c r="C422" s="6">
        <v>19.2</v>
      </c>
      <c r="D422" s="6">
        <v>7.2</v>
      </c>
      <c r="E422" s="6">
        <v>2.6</v>
      </c>
      <c r="F422" s="6">
        <v>4.4999999999999998E-2</v>
      </c>
      <c r="G422" s="5"/>
      <c r="H422" s="7" t="s">
        <v>61</v>
      </c>
      <c r="I422" s="5" t="s">
        <v>62</v>
      </c>
      <c r="J422" s="5" t="str">
        <f>IF(COUNTIF(packages_master!$A:$A,A422)&gt;0,"Y","N")</f>
        <v>N</v>
      </c>
      <c r="K422" s="5" t="str">
        <f t="shared" si="32"/>
        <v/>
      </c>
      <c r="L422" s="5" t="str">
        <f t="shared" si="33"/>
        <v/>
      </c>
      <c r="M422" s="5" t="str">
        <f t="shared" si="34"/>
        <v>NORMAL</v>
      </c>
      <c r="N422" s="5" t="str">
        <f t="shared" si="35"/>
        <v/>
      </c>
      <c r="O422" s="12"/>
      <c r="P422" s="12"/>
      <c r="Q422" s="12"/>
      <c r="R422" s="12" t="s">
        <v>63</v>
      </c>
      <c r="S422" s="12"/>
    </row>
    <row r="423" spans="1:19" x14ac:dyDescent="0.25">
      <c r="A423" s="5" t="s">
        <v>949</v>
      </c>
      <c r="B423" s="5" t="s">
        <v>950</v>
      </c>
      <c r="C423" s="6">
        <v>19.2</v>
      </c>
      <c r="D423" s="6">
        <v>7.2</v>
      </c>
      <c r="E423" s="6">
        <v>2.6</v>
      </c>
      <c r="F423" s="6">
        <v>4.4999999999999998E-2</v>
      </c>
      <c r="G423" s="5"/>
      <c r="H423" s="7" t="s">
        <v>61</v>
      </c>
      <c r="I423" s="5" t="s">
        <v>62</v>
      </c>
      <c r="J423" s="5" t="str">
        <f>IF(COUNTIF(packages_master!$A:$A,A423)&gt;0,"Y","N")</f>
        <v>N</v>
      </c>
      <c r="K423" s="5" t="str">
        <f t="shared" si="32"/>
        <v/>
      </c>
      <c r="L423" s="5" t="str">
        <f t="shared" si="33"/>
        <v/>
      </c>
      <c r="M423" s="5" t="str">
        <f t="shared" si="34"/>
        <v>NORMAL</v>
      </c>
      <c r="N423" s="5" t="str">
        <f t="shared" si="35"/>
        <v/>
      </c>
      <c r="O423" s="12"/>
      <c r="P423" s="12"/>
      <c r="Q423" s="12"/>
      <c r="R423" s="12" t="s">
        <v>63</v>
      </c>
      <c r="S423" s="12"/>
    </row>
    <row r="424" spans="1:19" x14ac:dyDescent="0.25">
      <c r="A424" s="5" t="s">
        <v>951</v>
      </c>
      <c r="B424" s="5" t="s">
        <v>952</v>
      </c>
      <c r="C424" s="6">
        <v>16.600000000000001</v>
      </c>
      <c r="D424" s="6">
        <v>5.8</v>
      </c>
      <c r="E424" s="6">
        <v>3.3</v>
      </c>
      <c r="F424" s="6">
        <v>7.4999999999999997E-2</v>
      </c>
      <c r="G424" s="5"/>
      <c r="H424" s="7" t="s">
        <v>61</v>
      </c>
      <c r="I424" s="5" t="s">
        <v>62</v>
      </c>
      <c r="J424" s="5" t="str">
        <f>IF(COUNTIF(packages_master!$A:$A,A424)&gt;0,"Y","N")</f>
        <v>N</v>
      </c>
      <c r="K424" s="5" t="str">
        <f t="shared" si="32"/>
        <v/>
      </c>
      <c r="L424" s="5" t="str">
        <f t="shared" si="33"/>
        <v/>
      </c>
      <c r="M424" s="5" t="str">
        <f t="shared" si="34"/>
        <v>NORMAL</v>
      </c>
      <c r="N424" s="5" t="str">
        <f t="shared" si="35"/>
        <v/>
      </c>
      <c r="O424" s="12"/>
      <c r="P424" s="12"/>
      <c r="Q424" s="12"/>
      <c r="R424" s="12" t="s">
        <v>63</v>
      </c>
      <c r="S424" s="12"/>
    </row>
    <row r="425" spans="1:19" x14ac:dyDescent="0.25">
      <c r="A425" s="5" t="s">
        <v>953</v>
      </c>
      <c r="B425" s="5" t="s">
        <v>954</v>
      </c>
      <c r="C425" s="6">
        <v>16.5</v>
      </c>
      <c r="D425" s="6">
        <v>5.9</v>
      </c>
      <c r="E425" s="6">
        <v>3.3</v>
      </c>
      <c r="F425" s="6">
        <v>7.8E-2</v>
      </c>
      <c r="G425" s="5"/>
      <c r="H425" s="7" t="s">
        <v>61</v>
      </c>
      <c r="I425" s="5" t="s">
        <v>62</v>
      </c>
      <c r="J425" s="5" t="str">
        <f>IF(COUNTIF(packages_master!$A:$A,A425)&gt;0,"Y","N")</f>
        <v>N</v>
      </c>
      <c r="K425" s="5" t="str">
        <f t="shared" si="32"/>
        <v/>
      </c>
      <c r="L425" s="5" t="str">
        <f t="shared" si="33"/>
        <v/>
      </c>
      <c r="M425" s="5" t="str">
        <f t="shared" si="34"/>
        <v>NORMAL</v>
      </c>
      <c r="N425" s="5" t="str">
        <f t="shared" si="35"/>
        <v/>
      </c>
      <c r="O425" s="12"/>
      <c r="P425" s="12"/>
      <c r="Q425" s="12"/>
      <c r="R425" s="12" t="s">
        <v>63</v>
      </c>
      <c r="S425" s="12"/>
    </row>
    <row r="426" spans="1:19" x14ac:dyDescent="0.25">
      <c r="A426" s="5" t="s">
        <v>955</v>
      </c>
      <c r="B426" s="5" t="s">
        <v>956</v>
      </c>
      <c r="C426" s="6">
        <v>19.600000000000001</v>
      </c>
      <c r="D426" s="6">
        <v>7.1</v>
      </c>
      <c r="E426" s="6">
        <v>3.1</v>
      </c>
      <c r="F426" s="6">
        <v>0.05</v>
      </c>
      <c r="G426" s="5"/>
      <c r="H426" s="7" t="s">
        <v>61</v>
      </c>
      <c r="I426" s="5" t="s">
        <v>62</v>
      </c>
      <c r="J426" s="5" t="str">
        <f>IF(COUNTIF(packages_master!$A:$A,A426)&gt;0,"Y","N")</f>
        <v>N</v>
      </c>
      <c r="K426" s="5" t="str">
        <f t="shared" si="32"/>
        <v/>
      </c>
      <c r="L426" s="5" t="str">
        <f t="shared" si="33"/>
        <v/>
      </c>
      <c r="M426" s="5" t="str">
        <f t="shared" si="34"/>
        <v>NORMAL</v>
      </c>
      <c r="N426" s="5" t="str">
        <f t="shared" si="35"/>
        <v/>
      </c>
      <c r="O426" s="12"/>
      <c r="P426" s="12"/>
      <c r="Q426" s="12"/>
      <c r="R426" s="12" t="s">
        <v>63</v>
      </c>
      <c r="S426" s="12"/>
    </row>
    <row r="427" spans="1:19" x14ac:dyDescent="0.25">
      <c r="A427" s="5" t="s">
        <v>957</v>
      </c>
      <c r="B427" s="5" t="s">
        <v>958</v>
      </c>
      <c r="C427" s="6">
        <v>6.7</v>
      </c>
      <c r="D427" s="6">
        <v>4.8</v>
      </c>
      <c r="E427" s="6">
        <v>3.8</v>
      </c>
      <c r="F427" s="6">
        <v>2.8000000000000001E-2</v>
      </c>
      <c r="G427" s="5"/>
      <c r="H427" s="7" t="s">
        <v>61</v>
      </c>
      <c r="I427" s="5" t="s">
        <v>62</v>
      </c>
      <c r="J427" s="5" t="str">
        <f>IF(COUNTIF(packages_master!$A:$A,A427)&gt;0,"Y","N")</f>
        <v>N</v>
      </c>
      <c r="K427" s="5" t="str">
        <f t="shared" si="32"/>
        <v/>
      </c>
      <c r="L427" s="5" t="str">
        <f t="shared" si="33"/>
        <v/>
      </c>
      <c r="M427" s="5" t="str">
        <f t="shared" si="34"/>
        <v>NORMAL</v>
      </c>
      <c r="N427" s="5" t="str">
        <f t="shared" si="35"/>
        <v/>
      </c>
      <c r="O427" s="12"/>
      <c r="P427" s="12"/>
      <c r="Q427" s="12"/>
      <c r="R427" s="12" t="s">
        <v>63</v>
      </c>
      <c r="S427" s="12"/>
    </row>
    <row r="428" spans="1:19" x14ac:dyDescent="0.25">
      <c r="A428" s="5" t="s">
        <v>959</v>
      </c>
      <c r="B428" s="5" t="s">
        <v>960</v>
      </c>
      <c r="C428" s="6">
        <v>19.399999999999999</v>
      </c>
      <c r="D428" s="6">
        <v>7.2</v>
      </c>
      <c r="E428" s="6">
        <v>2.9</v>
      </c>
      <c r="F428" s="6">
        <v>4.7E-2</v>
      </c>
      <c r="G428" s="5"/>
      <c r="H428" s="7" t="s">
        <v>61</v>
      </c>
      <c r="I428" s="5" t="s">
        <v>62</v>
      </c>
      <c r="J428" s="5" t="str">
        <f>IF(COUNTIF(packages_master!$A:$A,A428)&gt;0,"Y","N")</f>
        <v>N</v>
      </c>
      <c r="K428" s="5" t="str">
        <f t="shared" si="32"/>
        <v/>
      </c>
      <c r="L428" s="5" t="str">
        <f t="shared" si="33"/>
        <v/>
      </c>
      <c r="M428" s="5" t="str">
        <f t="shared" si="34"/>
        <v>NORMAL</v>
      </c>
      <c r="N428" s="5" t="str">
        <f t="shared" si="35"/>
        <v/>
      </c>
      <c r="O428" s="12"/>
      <c r="P428" s="12"/>
      <c r="Q428" s="12"/>
      <c r="R428" s="12" t="s">
        <v>63</v>
      </c>
      <c r="S428" s="12"/>
    </row>
    <row r="429" spans="1:19" x14ac:dyDescent="0.25">
      <c r="A429" s="5" t="s">
        <v>961</v>
      </c>
      <c r="B429" s="5" t="s">
        <v>962</v>
      </c>
      <c r="C429" s="6">
        <v>7.2</v>
      </c>
      <c r="D429" s="6">
        <v>4.8</v>
      </c>
      <c r="E429" s="6">
        <v>3.6</v>
      </c>
      <c r="F429" s="6">
        <v>3.5999999999999997E-2</v>
      </c>
      <c r="G429" s="5"/>
      <c r="H429" s="7" t="s">
        <v>61</v>
      </c>
      <c r="I429" s="5" t="s">
        <v>62</v>
      </c>
      <c r="J429" s="5" t="str">
        <f>IF(COUNTIF(packages_master!$A:$A,A429)&gt;0,"Y","N")</f>
        <v>N</v>
      </c>
      <c r="K429" s="5" t="str">
        <f t="shared" si="32"/>
        <v/>
      </c>
      <c r="L429" s="5" t="str">
        <f t="shared" si="33"/>
        <v/>
      </c>
      <c r="M429" s="5" t="str">
        <f t="shared" si="34"/>
        <v>NORMAL</v>
      </c>
      <c r="N429" s="5" t="str">
        <f t="shared" si="35"/>
        <v/>
      </c>
      <c r="O429" s="12"/>
      <c r="P429" s="12"/>
      <c r="Q429" s="12"/>
      <c r="R429" s="12" t="s">
        <v>63</v>
      </c>
      <c r="S429" s="12"/>
    </row>
    <row r="430" spans="1:19" x14ac:dyDescent="0.25">
      <c r="A430" s="5" t="s">
        <v>963</v>
      </c>
      <c r="B430" s="5" t="s">
        <v>964</v>
      </c>
      <c r="C430" s="6">
        <v>16.3</v>
      </c>
      <c r="D430" s="6">
        <v>8.1</v>
      </c>
      <c r="E430" s="6">
        <v>2.5</v>
      </c>
      <c r="F430" s="6">
        <v>0.127</v>
      </c>
      <c r="G430" s="5"/>
      <c r="H430" s="7" t="s">
        <v>61</v>
      </c>
      <c r="I430" s="5" t="s">
        <v>62</v>
      </c>
      <c r="J430" s="5" t="str">
        <f>IF(COUNTIF(packages_master!$A:$A,A430)&gt;0,"Y","N")</f>
        <v>N</v>
      </c>
      <c r="K430" s="5" t="str">
        <f t="shared" si="32"/>
        <v/>
      </c>
      <c r="L430" s="5" t="str">
        <f t="shared" si="33"/>
        <v/>
      </c>
      <c r="M430" s="5" t="str">
        <f t="shared" si="34"/>
        <v>NORMAL</v>
      </c>
      <c r="N430" s="5" t="str">
        <f t="shared" si="35"/>
        <v/>
      </c>
      <c r="O430" s="12"/>
      <c r="P430" s="12"/>
      <c r="Q430" s="12"/>
      <c r="R430" s="12" t="s">
        <v>63</v>
      </c>
      <c r="S430" s="12"/>
    </row>
    <row r="431" spans="1:19" x14ac:dyDescent="0.25">
      <c r="A431" s="5" t="s">
        <v>965</v>
      </c>
      <c r="B431" s="5" t="s">
        <v>966</v>
      </c>
      <c r="C431" s="6">
        <v>7.2</v>
      </c>
      <c r="D431" s="6">
        <v>4.9000000000000004</v>
      </c>
      <c r="E431" s="6">
        <v>3.7</v>
      </c>
      <c r="F431" s="6">
        <v>2.5999999999999999E-2</v>
      </c>
      <c r="G431" s="5"/>
      <c r="H431" s="7" t="s">
        <v>61</v>
      </c>
      <c r="I431" s="5" t="s">
        <v>62</v>
      </c>
      <c r="J431" s="5" t="str">
        <f>IF(COUNTIF(packages_master!$A:$A,A431)&gt;0,"Y","N")</f>
        <v>N</v>
      </c>
      <c r="K431" s="5" t="str">
        <f t="shared" si="32"/>
        <v/>
      </c>
      <c r="L431" s="5" t="str">
        <f t="shared" si="33"/>
        <v/>
      </c>
      <c r="M431" s="5" t="str">
        <f t="shared" si="34"/>
        <v>NORMAL</v>
      </c>
      <c r="N431" s="5" t="str">
        <f t="shared" si="35"/>
        <v/>
      </c>
      <c r="O431" s="12"/>
      <c r="P431" s="12"/>
      <c r="Q431" s="12"/>
      <c r="R431" s="12" t="s">
        <v>63</v>
      </c>
      <c r="S431" s="12"/>
    </row>
    <row r="432" spans="1:19" x14ac:dyDescent="0.25">
      <c r="A432" s="5" t="s">
        <v>967</v>
      </c>
      <c r="B432" s="5" t="s">
        <v>968</v>
      </c>
      <c r="C432" s="6">
        <v>19.3</v>
      </c>
      <c r="D432" s="6">
        <v>7.2</v>
      </c>
      <c r="E432" s="6">
        <v>2.9</v>
      </c>
      <c r="F432" s="6">
        <v>4.9000000000000002E-2</v>
      </c>
      <c r="G432" s="5"/>
      <c r="H432" s="7" t="s">
        <v>61</v>
      </c>
      <c r="I432" s="5" t="s">
        <v>62</v>
      </c>
      <c r="J432" s="5" t="str">
        <f>IF(COUNTIF(packages_master!$A:$A,A432)&gt;0,"Y","N")</f>
        <v>N</v>
      </c>
      <c r="K432" s="5" t="str">
        <f t="shared" si="32"/>
        <v/>
      </c>
      <c r="L432" s="5" t="str">
        <f t="shared" si="33"/>
        <v/>
      </c>
      <c r="M432" s="5" t="str">
        <f t="shared" si="34"/>
        <v>NORMAL</v>
      </c>
      <c r="N432" s="5" t="str">
        <f t="shared" si="35"/>
        <v/>
      </c>
      <c r="O432" s="12"/>
      <c r="P432" s="12"/>
      <c r="Q432" s="12"/>
      <c r="R432" s="12" t="s">
        <v>63</v>
      </c>
      <c r="S432" s="12"/>
    </row>
    <row r="433" spans="1:19" x14ac:dyDescent="0.25">
      <c r="A433" s="5" t="s">
        <v>969</v>
      </c>
      <c r="B433" s="5" t="s">
        <v>970</v>
      </c>
      <c r="C433" s="6">
        <v>16.399999999999999</v>
      </c>
      <c r="D433" s="6">
        <v>7.7</v>
      </c>
      <c r="E433" s="6">
        <v>7.5</v>
      </c>
      <c r="F433" s="6">
        <v>0.27200000000000002</v>
      </c>
      <c r="G433" s="5"/>
      <c r="H433" s="7" t="s">
        <v>61</v>
      </c>
      <c r="I433" s="5" t="s">
        <v>62</v>
      </c>
      <c r="J433" s="5" t="str">
        <f>IF(COUNTIF(packages_master!$A:$A,A433)&gt;0,"Y","N")</f>
        <v>N</v>
      </c>
      <c r="K433" s="5" t="str">
        <f t="shared" si="32"/>
        <v/>
      </c>
      <c r="L433" s="5" t="str">
        <f t="shared" si="33"/>
        <v/>
      </c>
      <c r="M433" s="5" t="str">
        <f t="shared" si="34"/>
        <v>NORMAL</v>
      </c>
      <c r="N433" s="5" t="str">
        <f t="shared" si="35"/>
        <v/>
      </c>
      <c r="O433" s="12"/>
      <c r="P433" s="12"/>
      <c r="Q433" s="12"/>
      <c r="R433" s="12" t="s">
        <v>63</v>
      </c>
      <c r="S433" s="12"/>
    </row>
    <row r="434" spans="1:19" x14ac:dyDescent="0.25">
      <c r="A434" s="5" t="s">
        <v>971</v>
      </c>
      <c r="B434" s="5" t="s">
        <v>972</v>
      </c>
      <c r="C434" s="6">
        <v>11.7</v>
      </c>
      <c r="D434" s="6">
        <v>10.9</v>
      </c>
      <c r="E434" s="6">
        <v>9.3000000000000007</v>
      </c>
      <c r="F434" s="6">
        <v>0.29099999999999998</v>
      </c>
      <c r="G434" s="5"/>
      <c r="H434" s="7" t="s">
        <v>61</v>
      </c>
      <c r="I434" s="5" t="s">
        <v>62</v>
      </c>
      <c r="J434" s="5" t="str">
        <f>IF(COUNTIF(packages_master!$A:$A,A434)&gt;0,"Y","N")</f>
        <v>N</v>
      </c>
      <c r="K434" s="5" t="str">
        <f t="shared" si="32"/>
        <v/>
      </c>
      <c r="L434" s="5" t="str">
        <f t="shared" si="33"/>
        <v/>
      </c>
      <c r="M434" s="5" t="str">
        <f t="shared" si="34"/>
        <v>NORMAL</v>
      </c>
      <c r="N434" s="5" t="str">
        <f t="shared" si="35"/>
        <v/>
      </c>
      <c r="O434" s="12"/>
      <c r="P434" s="12"/>
      <c r="Q434" s="12"/>
      <c r="R434" s="12" t="s">
        <v>63</v>
      </c>
      <c r="S434" s="12"/>
    </row>
    <row r="435" spans="1:19" x14ac:dyDescent="0.25">
      <c r="A435" s="5" t="s">
        <v>973</v>
      </c>
      <c r="B435" s="5" t="s">
        <v>974</v>
      </c>
      <c r="C435" s="6">
        <v>19.2</v>
      </c>
      <c r="D435" s="6">
        <v>7.1</v>
      </c>
      <c r="E435" s="6">
        <v>2.6</v>
      </c>
      <c r="F435" s="6">
        <v>4.5999999999999999E-2</v>
      </c>
      <c r="G435" s="5"/>
      <c r="H435" s="7" t="s">
        <v>61</v>
      </c>
      <c r="I435" s="5" t="s">
        <v>62</v>
      </c>
      <c r="J435" s="5" t="str">
        <f>IF(COUNTIF(packages_master!$A:$A,A435)&gt;0,"Y","N")</f>
        <v>N</v>
      </c>
      <c r="K435" s="5" t="str">
        <f t="shared" si="32"/>
        <v/>
      </c>
      <c r="L435" s="5" t="str">
        <f t="shared" si="33"/>
        <v/>
      </c>
      <c r="M435" s="5" t="str">
        <f t="shared" si="34"/>
        <v>NORMAL</v>
      </c>
      <c r="N435" s="5" t="str">
        <f t="shared" si="35"/>
        <v/>
      </c>
      <c r="O435" s="12"/>
      <c r="P435" s="12"/>
      <c r="Q435" s="12"/>
      <c r="R435" s="12" t="s">
        <v>63</v>
      </c>
      <c r="S435" s="12"/>
    </row>
    <row r="436" spans="1:19" x14ac:dyDescent="0.25">
      <c r="A436" s="5" t="s">
        <v>975</v>
      </c>
      <c r="B436" s="5" t="s">
        <v>976</v>
      </c>
      <c r="C436" s="6">
        <v>19.2</v>
      </c>
      <c r="D436" s="6">
        <v>7.1</v>
      </c>
      <c r="E436" s="6">
        <v>2.6</v>
      </c>
      <c r="F436" s="6">
        <v>4.5999999999999999E-2</v>
      </c>
      <c r="G436" s="5"/>
      <c r="H436" s="7" t="s">
        <v>61</v>
      </c>
      <c r="I436" s="5" t="s">
        <v>62</v>
      </c>
      <c r="J436" s="5" t="str">
        <f>IF(COUNTIF(packages_master!$A:$A,A436)&gt;0,"Y","N")</f>
        <v>N</v>
      </c>
      <c r="K436" s="5" t="str">
        <f t="shared" si="32"/>
        <v/>
      </c>
      <c r="L436" s="5" t="str">
        <f t="shared" si="33"/>
        <v/>
      </c>
      <c r="M436" s="5" t="str">
        <f t="shared" si="34"/>
        <v>NORMAL</v>
      </c>
      <c r="N436" s="5" t="str">
        <f t="shared" si="35"/>
        <v/>
      </c>
      <c r="O436" s="12"/>
      <c r="P436" s="12"/>
      <c r="Q436" s="12"/>
      <c r="R436" s="12" t="s">
        <v>63</v>
      </c>
      <c r="S436" s="12"/>
    </row>
    <row r="437" spans="1:19" x14ac:dyDescent="0.25">
      <c r="A437" s="5" t="s">
        <v>977</v>
      </c>
      <c r="B437" s="5" t="s">
        <v>978</v>
      </c>
      <c r="C437" s="6">
        <v>19.2</v>
      </c>
      <c r="D437" s="6">
        <v>7.1</v>
      </c>
      <c r="E437" s="6">
        <v>2.6</v>
      </c>
      <c r="F437" s="6">
        <v>4.5999999999999999E-2</v>
      </c>
      <c r="G437" s="5"/>
      <c r="H437" s="7" t="s">
        <v>61</v>
      </c>
      <c r="I437" s="5" t="s">
        <v>62</v>
      </c>
      <c r="J437" s="5" t="str">
        <f>IF(COUNTIF(packages_master!$A:$A,A437)&gt;0,"Y","N")</f>
        <v>N</v>
      </c>
      <c r="K437" s="5" t="str">
        <f t="shared" si="32"/>
        <v/>
      </c>
      <c r="L437" s="5" t="str">
        <f t="shared" si="33"/>
        <v/>
      </c>
      <c r="M437" s="5" t="str">
        <f t="shared" si="34"/>
        <v>NORMAL</v>
      </c>
      <c r="N437" s="5" t="str">
        <f t="shared" si="35"/>
        <v/>
      </c>
      <c r="O437" s="12"/>
      <c r="P437" s="12"/>
      <c r="Q437" s="12"/>
      <c r="R437" s="12" t="s">
        <v>63</v>
      </c>
      <c r="S437" s="12"/>
    </row>
    <row r="438" spans="1:19" x14ac:dyDescent="0.25">
      <c r="A438" s="5" t="s">
        <v>979</v>
      </c>
      <c r="B438" s="5" t="s">
        <v>980</v>
      </c>
      <c r="C438" s="6">
        <v>19.2</v>
      </c>
      <c r="D438" s="6">
        <v>7.1</v>
      </c>
      <c r="E438" s="6">
        <v>2.6</v>
      </c>
      <c r="F438" s="6">
        <v>4.5999999999999999E-2</v>
      </c>
      <c r="G438" s="5"/>
      <c r="H438" s="7" t="s">
        <v>61</v>
      </c>
      <c r="I438" s="5" t="s">
        <v>62</v>
      </c>
      <c r="J438" s="5" t="str">
        <f>IF(COUNTIF(packages_master!$A:$A,A438)&gt;0,"Y","N")</f>
        <v>N</v>
      </c>
      <c r="K438" s="5" t="str">
        <f t="shared" si="32"/>
        <v/>
      </c>
      <c r="L438" s="5" t="str">
        <f t="shared" si="33"/>
        <v/>
      </c>
      <c r="M438" s="5" t="str">
        <f t="shared" si="34"/>
        <v>NORMAL</v>
      </c>
      <c r="N438" s="5" t="str">
        <f t="shared" si="35"/>
        <v/>
      </c>
      <c r="O438" s="12"/>
      <c r="P438" s="12"/>
      <c r="Q438" s="12"/>
      <c r="R438" s="12" t="s">
        <v>63</v>
      </c>
      <c r="S438" s="12"/>
    </row>
    <row r="439" spans="1:19" x14ac:dyDescent="0.25">
      <c r="A439" s="5" t="s">
        <v>981</v>
      </c>
      <c r="B439" s="5" t="s">
        <v>982</v>
      </c>
      <c r="C439" s="6">
        <v>19.2</v>
      </c>
      <c r="D439" s="6">
        <v>7.1</v>
      </c>
      <c r="E439" s="6">
        <v>2.6</v>
      </c>
      <c r="F439" s="6">
        <v>4.5999999999999999E-2</v>
      </c>
      <c r="G439" s="5"/>
      <c r="H439" s="7" t="s">
        <v>61</v>
      </c>
      <c r="I439" s="5" t="s">
        <v>62</v>
      </c>
      <c r="J439" s="5" t="str">
        <f>IF(COUNTIF(packages_master!$A:$A,A439)&gt;0,"Y","N")</f>
        <v>N</v>
      </c>
      <c r="K439" s="5" t="str">
        <f t="shared" si="32"/>
        <v/>
      </c>
      <c r="L439" s="5" t="str">
        <f t="shared" si="33"/>
        <v/>
      </c>
      <c r="M439" s="5" t="str">
        <f t="shared" si="34"/>
        <v>NORMAL</v>
      </c>
      <c r="N439" s="5" t="str">
        <f t="shared" si="35"/>
        <v/>
      </c>
      <c r="O439" s="12"/>
      <c r="P439" s="12"/>
      <c r="Q439" s="12"/>
      <c r="R439" s="12" t="s">
        <v>63</v>
      </c>
      <c r="S439" s="12"/>
    </row>
    <row r="440" spans="1:19" x14ac:dyDescent="0.25">
      <c r="A440" s="5" t="s">
        <v>983</v>
      </c>
      <c r="B440" s="5" t="s">
        <v>984</v>
      </c>
      <c r="C440" s="6">
        <v>19.2</v>
      </c>
      <c r="D440" s="6">
        <v>7.1</v>
      </c>
      <c r="E440" s="6">
        <v>2.6</v>
      </c>
      <c r="F440" s="6">
        <v>4.5999999999999999E-2</v>
      </c>
      <c r="G440" s="5"/>
      <c r="H440" s="7" t="s">
        <v>61</v>
      </c>
      <c r="I440" s="5" t="s">
        <v>62</v>
      </c>
      <c r="J440" s="5" t="str">
        <f>IF(COUNTIF(packages_master!$A:$A,A440)&gt;0,"Y","N")</f>
        <v>N</v>
      </c>
      <c r="K440" s="5" t="str">
        <f t="shared" si="32"/>
        <v/>
      </c>
      <c r="L440" s="5" t="str">
        <f t="shared" si="33"/>
        <v/>
      </c>
      <c r="M440" s="5" t="str">
        <f t="shared" si="34"/>
        <v>NORMAL</v>
      </c>
      <c r="N440" s="5" t="str">
        <f t="shared" si="35"/>
        <v/>
      </c>
      <c r="O440" s="12"/>
      <c r="P440" s="12"/>
      <c r="Q440" s="12"/>
      <c r="R440" s="12" t="s">
        <v>63</v>
      </c>
      <c r="S440" s="12"/>
    </row>
    <row r="441" spans="1:19" x14ac:dyDescent="0.25">
      <c r="A441" s="5" t="s">
        <v>985</v>
      </c>
      <c r="B441" s="5" t="s">
        <v>986</v>
      </c>
      <c r="C441" s="6">
        <v>7.8</v>
      </c>
      <c r="D441" s="6">
        <v>5.3</v>
      </c>
      <c r="E441" s="6">
        <v>4.4000000000000004</v>
      </c>
      <c r="F441" s="6">
        <v>4.2999999999999997E-2</v>
      </c>
      <c r="G441" s="5"/>
      <c r="H441" s="7" t="s">
        <v>61</v>
      </c>
      <c r="I441" s="5" t="s">
        <v>62</v>
      </c>
      <c r="J441" s="5" t="str">
        <f>IF(COUNTIF(packages_master!$A:$A,A441)&gt;0,"Y","N")</f>
        <v>N</v>
      </c>
      <c r="K441" s="5" t="str">
        <f t="shared" si="32"/>
        <v/>
      </c>
      <c r="L441" s="5" t="str">
        <f t="shared" si="33"/>
        <v/>
      </c>
      <c r="M441" s="5" t="str">
        <f t="shared" si="34"/>
        <v>NORMAL</v>
      </c>
      <c r="N441" s="5" t="str">
        <f t="shared" si="35"/>
        <v/>
      </c>
      <c r="O441" s="12"/>
      <c r="P441" s="12"/>
      <c r="Q441" s="12"/>
      <c r="R441" s="12" t="s">
        <v>63</v>
      </c>
      <c r="S441" s="12"/>
    </row>
    <row r="442" spans="1:19" x14ac:dyDescent="0.25">
      <c r="A442" s="5" t="s">
        <v>987</v>
      </c>
      <c r="B442" s="5" t="s">
        <v>988</v>
      </c>
      <c r="C442" s="6">
        <v>18.100000000000001</v>
      </c>
      <c r="D442" s="8">
        <v>8</v>
      </c>
      <c r="E442" s="6">
        <v>5.8</v>
      </c>
      <c r="F442" s="6">
        <v>0.20799999999999999</v>
      </c>
      <c r="G442" s="5"/>
      <c r="H442" s="7" t="s">
        <v>61</v>
      </c>
      <c r="I442" s="5" t="s">
        <v>62</v>
      </c>
      <c r="J442" s="5" t="str">
        <f>IF(COUNTIF(packages_master!$A:$A,A442)&gt;0,"Y","N")</f>
        <v>N</v>
      </c>
      <c r="K442" s="5" t="str">
        <f t="shared" si="32"/>
        <v/>
      </c>
      <c r="L442" s="5" t="str">
        <f t="shared" si="33"/>
        <v/>
      </c>
      <c r="M442" s="5" t="str">
        <f t="shared" si="34"/>
        <v>NORMAL</v>
      </c>
      <c r="N442" s="5" t="str">
        <f t="shared" si="35"/>
        <v/>
      </c>
      <c r="O442" s="12">
        <v>45</v>
      </c>
      <c r="P442" s="12" t="s">
        <v>989</v>
      </c>
      <c r="Q442" s="12" t="s">
        <v>813</v>
      </c>
      <c r="R442" s="12" t="s">
        <v>61</v>
      </c>
      <c r="S442" s="12" t="s">
        <v>990</v>
      </c>
    </row>
    <row r="443" spans="1:19" x14ac:dyDescent="0.25">
      <c r="A443" s="5" t="s">
        <v>991</v>
      </c>
      <c r="B443" s="5" t="s">
        <v>992</v>
      </c>
      <c r="C443" s="6">
        <v>18.2</v>
      </c>
      <c r="D443" s="6">
        <v>6.9</v>
      </c>
      <c r="E443" s="6">
        <v>2.5</v>
      </c>
      <c r="F443" s="6">
        <v>4.2000000000000003E-2</v>
      </c>
      <c r="G443" s="5"/>
      <c r="H443" s="7" t="s">
        <v>61</v>
      </c>
      <c r="I443" s="5" t="s">
        <v>62</v>
      </c>
      <c r="J443" s="5" t="str">
        <f>IF(COUNTIF(packages_master!$A:$A,A443)&gt;0,"Y","N")</f>
        <v>N</v>
      </c>
      <c r="K443" s="5" t="str">
        <f t="shared" si="32"/>
        <v/>
      </c>
      <c r="L443" s="5" t="str">
        <f t="shared" si="33"/>
        <v/>
      </c>
      <c r="M443" s="5" t="str">
        <f t="shared" si="34"/>
        <v>NORMAL</v>
      </c>
      <c r="N443" s="5" t="str">
        <f t="shared" si="35"/>
        <v/>
      </c>
      <c r="O443" s="12"/>
      <c r="P443" s="12"/>
      <c r="Q443" s="12"/>
      <c r="R443" s="12" t="s">
        <v>63</v>
      </c>
      <c r="S443" s="12"/>
    </row>
    <row r="444" spans="1:19" x14ac:dyDescent="0.25">
      <c r="A444" s="5" t="s">
        <v>993</v>
      </c>
      <c r="B444" s="5" t="s">
        <v>994</v>
      </c>
      <c r="C444" s="8">
        <v>10</v>
      </c>
      <c r="D444" s="6">
        <v>4.2</v>
      </c>
      <c r="E444" s="6">
        <v>4.0999999999999996</v>
      </c>
      <c r="F444" s="6">
        <v>0.13500000000000001</v>
      </c>
      <c r="G444" s="5"/>
      <c r="H444" s="7" t="s">
        <v>61</v>
      </c>
      <c r="I444" s="5" t="s">
        <v>62</v>
      </c>
      <c r="J444" s="5" t="str">
        <f>IF(COUNTIF(packages_master!$A:$A,A444)&gt;0,"Y","N")</f>
        <v>N</v>
      </c>
      <c r="K444" s="5" t="str">
        <f t="shared" si="32"/>
        <v/>
      </c>
      <c r="L444" s="5" t="str">
        <f t="shared" si="33"/>
        <v/>
      </c>
      <c r="M444" s="5" t="str">
        <f t="shared" si="34"/>
        <v>NORMAL</v>
      </c>
      <c r="N444" s="5" t="str">
        <f t="shared" si="35"/>
        <v/>
      </c>
      <c r="O444" s="12"/>
      <c r="P444" s="12"/>
      <c r="Q444" s="12"/>
      <c r="R444" s="12" t="s">
        <v>63</v>
      </c>
      <c r="S444" s="12"/>
    </row>
    <row r="445" spans="1:19" x14ac:dyDescent="0.25">
      <c r="A445" s="5" t="s">
        <v>995</v>
      </c>
      <c r="B445" s="5" t="s">
        <v>996</v>
      </c>
      <c r="C445" s="6">
        <v>18.600000000000001</v>
      </c>
      <c r="D445" s="6">
        <v>6.8</v>
      </c>
      <c r="E445" s="6">
        <v>2.6</v>
      </c>
      <c r="F445" s="6">
        <v>4.4999999999999998E-2</v>
      </c>
      <c r="G445" s="5"/>
      <c r="H445" s="7" t="s">
        <v>61</v>
      </c>
      <c r="I445" s="5" t="s">
        <v>62</v>
      </c>
      <c r="J445" s="5" t="str">
        <f>IF(COUNTIF(packages_master!$A:$A,A445)&gt;0,"Y","N")</f>
        <v>N</v>
      </c>
      <c r="K445" s="5" t="str">
        <f t="shared" si="32"/>
        <v/>
      </c>
      <c r="L445" s="5" t="str">
        <f t="shared" si="33"/>
        <v/>
      </c>
      <c r="M445" s="5" t="str">
        <f t="shared" si="34"/>
        <v>NORMAL</v>
      </c>
      <c r="N445" s="5" t="str">
        <f t="shared" si="35"/>
        <v/>
      </c>
      <c r="O445" s="12"/>
      <c r="P445" s="12"/>
      <c r="Q445" s="12"/>
      <c r="R445" s="12" t="s">
        <v>63</v>
      </c>
      <c r="S445" s="12"/>
    </row>
    <row r="446" spans="1:19" x14ac:dyDescent="0.25">
      <c r="A446" s="5" t="s">
        <v>997</v>
      </c>
      <c r="B446" s="5" t="s">
        <v>998</v>
      </c>
      <c r="C446" s="6">
        <v>22.9</v>
      </c>
      <c r="D446" s="6">
        <v>8.9</v>
      </c>
      <c r="E446" s="6">
        <v>2.5</v>
      </c>
      <c r="F446" s="6">
        <v>0.13200000000000001</v>
      </c>
      <c r="G446" s="5"/>
      <c r="H446" s="7" t="s">
        <v>61</v>
      </c>
      <c r="I446" s="5" t="s">
        <v>62</v>
      </c>
      <c r="J446" s="5" t="str">
        <f>IF(COUNTIF(packages_master!$A:$A,A446)&gt;0,"Y","N")</f>
        <v>N</v>
      </c>
      <c r="K446" s="5" t="str">
        <f t="shared" si="32"/>
        <v/>
      </c>
      <c r="L446" s="5" t="str">
        <f t="shared" si="33"/>
        <v/>
      </c>
      <c r="M446" s="5" t="str">
        <f t="shared" si="34"/>
        <v>NORMAL</v>
      </c>
      <c r="N446" s="5" t="str">
        <f t="shared" si="35"/>
        <v/>
      </c>
      <c r="O446" s="12"/>
      <c r="P446" s="12"/>
      <c r="Q446" s="12"/>
      <c r="R446" s="12" t="s">
        <v>63</v>
      </c>
      <c r="S446" s="12"/>
    </row>
    <row r="447" spans="1:19" x14ac:dyDescent="0.25">
      <c r="A447" s="5" t="s">
        <v>999</v>
      </c>
      <c r="B447" s="5" t="s">
        <v>1000</v>
      </c>
      <c r="C447" s="6">
        <v>19.3</v>
      </c>
      <c r="D447" s="6">
        <v>7.1</v>
      </c>
      <c r="E447" s="6">
        <v>2.6</v>
      </c>
      <c r="F447" s="6">
        <v>5.2999999999999999E-2</v>
      </c>
      <c r="G447" s="5"/>
      <c r="H447" s="7" t="s">
        <v>61</v>
      </c>
      <c r="I447" s="5" t="s">
        <v>62</v>
      </c>
      <c r="J447" s="5" t="str">
        <f>IF(COUNTIF(packages_master!$A:$A,A447)&gt;0,"Y","N")</f>
        <v>N</v>
      </c>
      <c r="K447" s="5" t="str">
        <f t="shared" si="32"/>
        <v/>
      </c>
      <c r="L447" s="5" t="str">
        <f t="shared" si="33"/>
        <v/>
      </c>
      <c r="M447" s="5" t="str">
        <f t="shared" si="34"/>
        <v>NORMAL</v>
      </c>
      <c r="N447" s="5" t="str">
        <f t="shared" si="35"/>
        <v/>
      </c>
      <c r="O447" s="12"/>
      <c r="P447" s="12"/>
      <c r="Q447" s="12"/>
      <c r="R447" s="12" t="s">
        <v>63</v>
      </c>
      <c r="S447" s="12"/>
    </row>
    <row r="448" spans="1:19" x14ac:dyDescent="0.25">
      <c r="A448" s="5" t="s">
        <v>1001</v>
      </c>
      <c r="B448" s="5" t="s">
        <v>1002</v>
      </c>
      <c r="C448" s="8">
        <v>20</v>
      </c>
      <c r="D448" s="6">
        <v>7.9</v>
      </c>
      <c r="E448" s="6">
        <v>2.9</v>
      </c>
      <c r="F448" s="6">
        <v>0.05</v>
      </c>
      <c r="G448" s="5"/>
      <c r="H448" s="7" t="s">
        <v>61</v>
      </c>
      <c r="I448" s="5" t="s">
        <v>62</v>
      </c>
      <c r="J448" s="5" t="str">
        <f>IF(COUNTIF(packages_master!$A:$A,A448)&gt;0,"Y","N")</f>
        <v>N</v>
      </c>
      <c r="K448" s="5" t="str">
        <f t="shared" si="32"/>
        <v/>
      </c>
      <c r="L448" s="5" t="str">
        <f t="shared" si="33"/>
        <v/>
      </c>
      <c r="M448" s="5" t="str">
        <f t="shared" si="34"/>
        <v>NORMAL</v>
      </c>
      <c r="N448" s="5" t="str">
        <f t="shared" si="35"/>
        <v/>
      </c>
      <c r="O448" s="12"/>
      <c r="P448" s="12"/>
      <c r="Q448" s="12"/>
      <c r="R448" s="12" t="s">
        <v>63</v>
      </c>
      <c r="S448" s="12"/>
    </row>
    <row r="449" spans="1:19" x14ac:dyDescent="0.25">
      <c r="A449" s="5" t="s">
        <v>1003</v>
      </c>
      <c r="B449" s="5" t="s">
        <v>1004</v>
      </c>
      <c r="C449" s="6">
        <v>6.9</v>
      </c>
      <c r="D449" s="6">
        <v>4.9000000000000004</v>
      </c>
      <c r="E449" s="6">
        <v>2.9</v>
      </c>
      <c r="F449" s="6">
        <v>2.4E-2</v>
      </c>
      <c r="G449" s="5"/>
      <c r="H449" s="7" t="s">
        <v>61</v>
      </c>
      <c r="I449" s="5" t="s">
        <v>62</v>
      </c>
      <c r="J449" s="5" t="str">
        <f>IF(COUNTIF(packages_master!$A:$A,A449)&gt;0,"Y","N")</f>
        <v>N</v>
      </c>
      <c r="K449" s="5" t="str">
        <f t="shared" si="32"/>
        <v/>
      </c>
      <c r="L449" s="5" t="str">
        <f t="shared" si="33"/>
        <v/>
      </c>
      <c r="M449" s="5" t="str">
        <f t="shared" si="34"/>
        <v>NORMAL</v>
      </c>
      <c r="N449" s="5" t="str">
        <f t="shared" si="35"/>
        <v/>
      </c>
      <c r="O449" s="12"/>
      <c r="P449" s="12"/>
      <c r="Q449" s="12"/>
      <c r="R449" s="12" t="s">
        <v>63</v>
      </c>
      <c r="S449" s="12"/>
    </row>
    <row r="450" spans="1:19" x14ac:dyDescent="0.25">
      <c r="A450" s="5" t="s">
        <v>1005</v>
      </c>
      <c r="B450" s="5" t="s">
        <v>1006</v>
      </c>
      <c r="C450" s="6">
        <v>18.399999999999999</v>
      </c>
      <c r="D450" s="8">
        <v>7</v>
      </c>
      <c r="E450" s="6">
        <v>2.1</v>
      </c>
      <c r="F450" s="6">
        <v>3.5999999999999997E-2</v>
      </c>
      <c r="G450" s="5"/>
      <c r="H450" s="7" t="s">
        <v>61</v>
      </c>
      <c r="I450" s="5" t="s">
        <v>62</v>
      </c>
      <c r="J450" s="5" t="str">
        <f>IF(COUNTIF(packages_master!$A:$A,A450)&gt;0,"Y","N")</f>
        <v>N</v>
      </c>
      <c r="K450" s="5" t="str">
        <f t="shared" si="32"/>
        <v/>
      </c>
      <c r="L450" s="5" t="str">
        <f t="shared" si="33"/>
        <v/>
      </c>
      <c r="M450" s="5" t="str">
        <f t="shared" si="34"/>
        <v>NORMAL</v>
      </c>
      <c r="N450" s="5" t="str">
        <f t="shared" si="35"/>
        <v/>
      </c>
      <c r="O450" s="12"/>
      <c r="P450" s="12"/>
      <c r="Q450" s="12"/>
      <c r="R450" s="12" t="s">
        <v>63</v>
      </c>
      <c r="S450" s="12"/>
    </row>
    <row r="451" spans="1:19" x14ac:dyDescent="0.25">
      <c r="A451" s="5" t="s">
        <v>1007</v>
      </c>
      <c r="B451" s="5" t="s">
        <v>1008</v>
      </c>
      <c r="C451" s="6">
        <v>11.5</v>
      </c>
      <c r="D451" s="8">
        <v>7</v>
      </c>
      <c r="E451" s="6">
        <v>5.5</v>
      </c>
      <c r="F451" s="6">
        <v>0.192</v>
      </c>
      <c r="G451" s="5"/>
      <c r="H451" s="7" t="s">
        <v>61</v>
      </c>
      <c r="I451" s="5" t="s">
        <v>62</v>
      </c>
      <c r="J451" s="5" t="str">
        <f>IF(COUNTIF(packages_master!$A:$A,A451)&gt;0,"Y","N")</f>
        <v>N</v>
      </c>
      <c r="K451" s="5" t="str">
        <f t="shared" si="32"/>
        <v/>
      </c>
      <c r="L451" s="5" t="str">
        <f t="shared" si="33"/>
        <v/>
      </c>
      <c r="M451" s="5" t="str">
        <f t="shared" si="34"/>
        <v>NORMAL</v>
      </c>
      <c r="N451" s="5" t="str">
        <f t="shared" si="35"/>
        <v/>
      </c>
      <c r="O451" s="12"/>
      <c r="P451" s="12"/>
      <c r="Q451" s="12"/>
      <c r="R451" s="12" t="s">
        <v>63</v>
      </c>
      <c r="S451" s="12"/>
    </row>
    <row r="452" spans="1:19" x14ac:dyDescent="0.25">
      <c r="A452" s="5" t="s">
        <v>1009</v>
      </c>
      <c r="B452" s="5" t="s">
        <v>1010</v>
      </c>
      <c r="C452" s="6">
        <v>18.3</v>
      </c>
      <c r="D452" s="6">
        <v>10.199999999999999</v>
      </c>
      <c r="E452" s="6">
        <v>7.1</v>
      </c>
      <c r="F452" s="6">
        <v>0.26900000000000002</v>
      </c>
      <c r="G452" s="5"/>
      <c r="H452" s="7" t="s">
        <v>61</v>
      </c>
      <c r="I452" s="5" t="s">
        <v>62</v>
      </c>
      <c r="J452" s="5" t="str">
        <f>IF(COUNTIF(packages_master!$A:$A,A452)&gt;0,"Y","N")</f>
        <v>N</v>
      </c>
      <c r="K452" s="5" t="str">
        <f t="shared" si="32"/>
        <v/>
      </c>
      <c r="L452" s="5" t="str">
        <f t="shared" si="33"/>
        <v/>
      </c>
      <c r="M452" s="5" t="str">
        <f t="shared" si="34"/>
        <v>NORMAL</v>
      </c>
      <c r="N452" s="5" t="str">
        <f t="shared" si="35"/>
        <v/>
      </c>
      <c r="O452" s="12"/>
      <c r="P452" s="12"/>
      <c r="Q452" s="12"/>
      <c r="R452" s="12" t="s">
        <v>63</v>
      </c>
      <c r="S452" s="12"/>
    </row>
    <row r="453" spans="1:19" x14ac:dyDescent="0.25">
      <c r="A453" s="5" t="s">
        <v>1011</v>
      </c>
      <c r="B453" s="5" t="s">
        <v>1012</v>
      </c>
      <c r="C453" s="6">
        <v>18.2</v>
      </c>
      <c r="D453" s="6">
        <v>6.9</v>
      </c>
      <c r="E453" s="6">
        <v>2.4</v>
      </c>
      <c r="F453" s="6">
        <v>4.1000000000000002E-2</v>
      </c>
      <c r="G453" s="5"/>
      <c r="H453" s="7" t="s">
        <v>61</v>
      </c>
      <c r="I453" s="5" t="s">
        <v>62</v>
      </c>
      <c r="J453" s="5" t="str">
        <f>IF(COUNTIF(packages_master!$A:$A,A453)&gt;0,"Y","N")</f>
        <v>N</v>
      </c>
      <c r="K453" s="5" t="str">
        <f t="shared" si="32"/>
        <v/>
      </c>
      <c r="L453" s="5" t="str">
        <f t="shared" si="33"/>
        <v/>
      </c>
      <c r="M453" s="5" t="str">
        <f t="shared" si="34"/>
        <v>NORMAL</v>
      </c>
      <c r="N453" s="5" t="str">
        <f t="shared" si="35"/>
        <v/>
      </c>
      <c r="O453" s="12"/>
      <c r="P453" s="12"/>
      <c r="Q453" s="12"/>
      <c r="R453" s="12" t="s">
        <v>63</v>
      </c>
      <c r="S453" s="12"/>
    </row>
    <row r="454" spans="1:19" x14ac:dyDescent="0.25">
      <c r="A454" s="5" t="s">
        <v>1013</v>
      </c>
      <c r="B454" s="5" t="s">
        <v>1014</v>
      </c>
      <c r="C454" s="5"/>
      <c r="D454" s="5"/>
      <c r="E454" s="5"/>
      <c r="F454" s="6">
        <v>3.1E-2</v>
      </c>
      <c r="G454" s="5"/>
      <c r="H454" s="7" t="s">
        <v>61</v>
      </c>
      <c r="I454" s="5" t="s">
        <v>62</v>
      </c>
      <c r="J454" s="5" t="str">
        <f>IF(COUNTIF(packages_master!$A:$A,A454)&gt;0,"Y","N")</f>
        <v>N</v>
      </c>
      <c r="K454" s="5" t="str">
        <f t="shared" si="32"/>
        <v/>
      </c>
      <c r="L454" s="5" t="str">
        <f t="shared" si="33"/>
        <v/>
      </c>
      <c r="M454" s="5" t="str">
        <f t="shared" si="34"/>
        <v>NORMAL</v>
      </c>
      <c r="N454" s="5" t="str">
        <f t="shared" si="35"/>
        <v/>
      </c>
      <c r="O454" s="12"/>
      <c r="P454" s="12"/>
      <c r="Q454" s="12"/>
      <c r="R454" s="12" t="s">
        <v>63</v>
      </c>
      <c r="S454" s="12"/>
    </row>
    <row r="455" spans="1:19" x14ac:dyDescent="0.25">
      <c r="A455" s="5" t="s">
        <v>1015</v>
      </c>
      <c r="B455" s="5" t="s">
        <v>1016</v>
      </c>
      <c r="C455" s="6">
        <v>19.100000000000001</v>
      </c>
      <c r="D455" s="6">
        <v>7.3</v>
      </c>
      <c r="E455" s="6">
        <v>2.9</v>
      </c>
      <c r="F455" s="6">
        <v>4.7E-2</v>
      </c>
      <c r="G455" s="5"/>
      <c r="H455" s="7" t="s">
        <v>61</v>
      </c>
      <c r="I455" s="5" t="s">
        <v>62</v>
      </c>
      <c r="J455" s="5" t="str">
        <f>IF(COUNTIF(packages_master!$A:$A,A455)&gt;0,"Y","N")</f>
        <v>N</v>
      </c>
      <c r="K455" s="5" t="str">
        <f t="shared" si="32"/>
        <v/>
      </c>
      <c r="L455" s="5" t="str">
        <f t="shared" si="33"/>
        <v/>
      </c>
      <c r="M455" s="5" t="str">
        <f t="shared" si="34"/>
        <v>NORMAL</v>
      </c>
      <c r="N455" s="5" t="str">
        <f t="shared" si="35"/>
        <v/>
      </c>
      <c r="O455" s="12">
        <v>100</v>
      </c>
      <c r="P455" s="12" t="s">
        <v>1017</v>
      </c>
      <c r="Q455" s="12" t="s">
        <v>739</v>
      </c>
      <c r="R455" s="12" t="s">
        <v>61</v>
      </c>
      <c r="S455" s="12" t="s">
        <v>1018</v>
      </c>
    </row>
    <row r="456" spans="1:19" x14ac:dyDescent="0.25">
      <c r="A456" s="5" t="s">
        <v>1019</v>
      </c>
      <c r="B456" s="5" t="s">
        <v>1020</v>
      </c>
      <c r="C456" s="6">
        <v>19.2</v>
      </c>
      <c r="D456" s="6">
        <v>7.4</v>
      </c>
      <c r="E456" s="6">
        <v>2.9</v>
      </c>
      <c r="F456" s="6">
        <v>5.0999999999999997E-2</v>
      </c>
      <c r="G456" s="5"/>
      <c r="H456" s="7" t="s">
        <v>61</v>
      </c>
      <c r="I456" s="5" t="s">
        <v>62</v>
      </c>
      <c r="J456" s="5" t="str">
        <f>IF(COUNTIF(packages_master!$A:$A,A456)&gt;0,"Y","N")</f>
        <v>N</v>
      </c>
      <c r="K456" s="5" t="str">
        <f t="shared" si="32"/>
        <v/>
      </c>
      <c r="L456" s="5" t="str">
        <f t="shared" si="33"/>
        <v/>
      </c>
      <c r="M456" s="5" t="str">
        <f t="shared" si="34"/>
        <v>NORMAL</v>
      </c>
      <c r="N456" s="5" t="str">
        <f t="shared" si="35"/>
        <v/>
      </c>
      <c r="O456" s="12">
        <v>100</v>
      </c>
      <c r="P456" s="12" t="s">
        <v>1021</v>
      </c>
      <c r="Q456" s="12" t="s">
        <v>673</v>
      </c>
      <c r="R456" s="12" t="s">
        <v>61</v>
      </c>
      <c r="S456" s="12" t="s">
        <v>1022</v>
      </c>
    </row>
    <row r="457" spans="1:19" x14ac:dyDescent="0.25">
      <c r="A457" s="5" t="s">
        <v>1023</v>
      </c>
      <c r="B457" s="5" t="s">
        <v>1024</v>
      </c>
      <c r="C457" s="6">
        <v>8.1</v>
      </c>
      <c r="D457" s="6">
        <v>8.1</v>
      </c>
      <c r="E457" s="6">
        <v>1.5</v>
      </c>
      <c r="F457" s="6">
        <v>6.3E-2</v>
      </c>
      <c r="G457" s="5"/>
      <c r="H457" s="7" t="s">
        <v>61</v>
      </c>
      <c r="I457" s="5" t="s">
        <v>62</v>
      </c>
      <c r="J457" s="5" t="str">
        <f>IF(COUNTIF(packages_master!$A:$A,A457)&gt;0,"Y","N")</f>
        <v>N</v>
      </c>
      <c r="K457" s="5" t="str">
        <f t="shared" si="32"/>
        <v/>
      </c>
      <c r="L457" s="5" t="str">
        <f t="shared" si="33"/>
        <v/>
      </c>
      <c r="M457" s="5" t="str">
        <f t="shared" si="34"/>
        <v>NORMAL</v>
      </c>
      <c r="N457" s="5" t="str">
        <f t="shared" si="35"/>
        <v/>
      </c>
      <c r="O457" s="12"/>
      <c r="P457" s="12"/>
      <c r="Q457" s="12"/>
      <c r="R457" s="12" t="s">
        <v>63</v>
      </c>
      <c r="S457" s="12"/>
    </row>
    <row r="458" spans="1:19" x14ac:dyDescent="0.25">
      <c r="A458" s="5" t="s">
        <v>1025</v>
      </c>
      <c r="B458" s="5" t="s">
        <v>1026</v>
      </c>
      <c r="C458" s="6">
        <v>11.8</v>
      </c>
      <c r="D458" s="6">
        <v>8.1</v>
      </c>
      <c r="E458" s="6">
        <v>5.7</v>
      </c>
      <c r="F458" s="6">
        <v>0.16800000000000001</v>
      </c>
      <c r="G458" s="5"/>
      <c r="H458" s="7" t="s">
        <v>61</v>
      </c>
      <c r="I458" s="5" t="s">
        <v>62</v>
      </c>
      <c r="J458" s="5" t="str">
        <f>IF(COUNTIF(packages_master!$A:$A,A458)&gt;0,"Y","N")</f>
        <v>N</v>
      </c>
      <c r="K458" s="5" t="str">
        <f t="shared" ref="K458:K471" si="36">IF(G458&lt;&gt;"","BX010","")</f>
        <v/>
      </c>
      <c r="L458" s="5" t="str">
        <f t="shared" ref="L458:L471" si="37">IF(G458&lt;&gt;"",300,"")</f>
        <v/>
      </c>
      <c r="M458" s="5" t="str">
        <f t="shared" ref="M458:M471" si="38">IF(J458="Y","PACKAGE_SEALED",IF(G458&lt;&gt;"","SPECIAL_300","NORMAL"))</f>
        <v>NORMAL</v>
      </c>
      <c r="N458" s="5" t="str">
        <f t="shared" ref="N458:N471" si="39">IF(J458="Y","packages_master","")</f>
        <v/>
      </c>
      <c r="O458" s="12"/>
      <c r="P458" s="12"/>
      <c r="Q458" s="12"/>
      <c r="R458" s="12" t="s">
        <v>63</v>
      </c>
      <c r="S458" s="12"/>
    </row>
    <row r="459" spans="1:19" x14ac:dyDescent="0.25">
      <c r="A459" s="5" t="s">
        <v>1027</v>
      </c>
      <c r="B459" s="5" t="s">
        <v>1028</v>
      </c>
      <c r="C459" s="8">
        <v>8</v>
      </c>
      <c r="D459" s="8">
        <v>8</v>
      </c>
      <c r="E459" s="6">
        <v>4.3</v>
      </c>
      <c r="F459" s="6">
        <v>0.18</v>
      </c>
      <c r="G459" s="5"/>
      <c r="H459" s="7" t="s">
        <v>61</v>
      </c>
      <c r="I459" s="5" t="s">
        <v>62</v>
      </c>
      <c r="J459" s="5" t="str">
        <f>IF(COUNTIF(packages_master!$A:$A,A459)&gt;0,"Y","N")</f>
        <v>N</v>
      </c>
      <c r="K459" s="5" t="str">
        <f t="shared" si="36"/>
        <v/>
      </c>
      <c r="L459" s="5" t="str">
        <f t="shared" si="37"/>
        <v/>
      </c>
      <c r="M459" s="5" t="str">
        <f t="shared" si="38"/>
        <v>NORMAL</v>
      </c>
      <c r="N459" s="5" t="str">
        <f t="shared" si="39"/>
        <v/>
      </c>
      <c r="O459" s="12"/>
      <c r="P459" s="12"/>
      <c r="Q459" s="12"/>
      <c r="R459" s="12" t="s">
        <v>63</v>
      </c>
      <c r="S459" s="12"/>
    </row>
    <row r="460" spans="1:19" x14ac:dyDescent="0.25">
      <c r="A460" s="5" t="s">
        <v>1029</v>
      </c>
      <c r="B460" s="5" t="s">
        <v>1030</v>
      </c>
      <c r="C460" s="6">
        <v>18.3</v>
      </c>
      <c r="D460" s="6">
        <v>6.9</v>
      </c>
      <c r="E460" s="6">
        <v>2.5</v>
      </c>
      <c r="F460" s="6">
        <v>4.3999999999999997E-2</v>
      </c>
      <c r="G460" s="5"/>
      <c r="H460" s="7" t="s">
        <v>61</v>
      </c>
      <c r="I460" s="5" t="s">
        <v>62</v>
      </c>
      <c r="J460" s="5" t="str">
        <f>IF(COUNTIF(packages_master!$A:$A,A460)&gt;0,"Y","N")</f>
        <v>N</v>
      </c>
      <c r="K460" s="5" t="str">
        <f t="shared" si="36"/>
        <v/>
      </c>
      <c r="L460" s="5" t="str">
        <f t="shared" si="37"/>
        <v/>
      </c>
      <c r="M460" s="5" t="str">
        <f t="shared" si="38"/>
        <v>NORMAL</v>
      </c>
      <c r="N460" s="5" t="str">
        <f t="shared" si="39"/>
        <v/>
      </c>
      <c r="O460" s="12"/>
      <c r="P460" s="12"/>
      <c r="Q460" s="12"/>
      <c r="R460" s="12" t="s">
        <v>63</v>
      </c>
      <c r="S460" s="12"/>
    </row>
    <row r="461" spans="1:19" x14ac:dyDescent="0.25">
      <c r="A461" s="5" t="s">
        <v>1031</v>
      </c>
      <c r="B461" s="5" t="s">
        <v>1032</v>
      </c>
      <c r="C461" s="6">
        <v>19.2</v>
      </c>
      <c r="D461" s="6">
        <v>7.1</v>
      </c>
      <c r="E461" s="6">
        <v>2.7</v>
      </c>
      <c r="F461" s="6">
        <v>4.5999999999999999E-2</v>
      </c>
      <c r="G461" s="5"/>
      <c r="H461" s="7" t="s">
        <v>61</v>
      </c>
      <c r="I461" s="5" t="s">
        <v>62</v>
      </c>
      <c r="J461" s="5" t="str">
        <f>IF(COUNTIF(packages_master!$A:$A,A461)&gt;0,"Y","N")</f>
        <v>N</v>
      </c>
      <c r="K461" s="5" t="str">
        <f t="shared" si="36"/>
        <v/>
      </c>
      <c r="L461" s="5" t="str">
        <f t="shared" si="37"/>
        <v/>
      </c>
      <c r="M461" s="5" t="str">
        <f t="shared" si="38"/>
        <v>NORMAL</v>
      </c>
      <c r="N461" s="5" t="str">
        <f t="shared" si="39"/>
        <v/>
      </c>
      <c r="O461" s="12"/>
      <c r="P461" s="12"/>
      <c r="Q461" s="12"/>
      <c r="R461" s="12" t="s">
        <v>63</v>
      </c>
      <c r="S461" s="12"/>
    </row>
    <row r="462" spans="1:19" x14ac:dyDescent="0.25">
      <c r="A462" s="5" t="s">
        <v>1033</v>
      </c>
      <c r="B462" s="5" t="s">
        <v>1034</v>
      </c>
      <c r="C462" s="6">
        <v>19.2</v>
      </c>
      <c r="D462" s="6">
        <v>7.1</v>
      </c>
      <c r="E462" s="6">
        <v>2.7</v>
      </c>
      <c r="F462" s="6">
        <v>4.5999999999999999E-2</v>
      </c>
      <c r="G462" s="5"/>
      <c r="H462" s="7" t="s">
        <v>61</v>
      </c>
      <c r="I462" s="5" t="s">
        <v>62</v>
      </c>
      <c r="J462" s="5" t="str">
        <f>IF(COUNTIF(packages_master!$A:$A,A462)&gt;0,"Y","N")</f>
        <v>N</v>
      </c>
      <c r="K462" s="5" t="str">
        <f t="shared" si="36"/>
        <v/>
      </c>
      <c r="L462" s="5" t="str">
        <f t="shared" si="37"/>
        <v/>
      </c>
      <c r="M462" s="5" t="str">
        <f t="shared" si="38"/>
        <v>NORMAL</v>
      </c>
      <c r="N462" s="5" t="str">
        <f t="shared" si="39"/>
        <v/>
      </c>
      <c r="O462" s="12"/>
      <c r="P462" s="12"/>
      <c r="Q462" s="12"/>
      <c r="R462" s="12" t="s">
        <v>63</v>
      </c>
      <c r="S462" s="12"/>
    </row>
    <row r="463" spans="1:19" x14ac:dyDescent="0.25">
      <c r="A463" s="5" t="s">
        <v>1035</v>
      </c>
      <c r="B463" s="5" t="s">
        <v>1036</v>
      </c>
      <c r="C463" s="6">
        <v>19.2</v>
      </c>
      <c r="D463" s="6">
        <v>7.1</v>
      </c>
      <c r="E463" s="6">
        <v>2.7</v>
      </c>
      <c r="F463" s="6">
        <v>4.5999999999999999E-2</v>
      </c>
      <c r="G463" s="5"/>
      <c r="H463" s="7" t="s">
        <v>61</v>
      </c>
      <c r="I463" s="5" t="s">
        <v>62</v>
      </c>
      <c r="J463" s="5" t="str">
        <f>IF(COUNTIF(packages_master!$A:$A,A463)&gt;0,"Y","N")</f>
        <v>N</v>
      </c>
      <c r="K463" s="5" t="str">
        <f t="shared" si="36"/>
        <v/>
      </c>
      <c r="L463" s="5" t="str">
        <f t="shared" si="37"/>
        <v/>
      </c>
      <c r="M463" s="5" t="str">
        <f t="shared" si="38"/>
        <v>NORMAL</v>
      </c>
      <c r="N463" s="5" t="str">
        <f t="shared" si="39"/>
        <v/>
      </c>
      <c r="O463" s="12"/>
      <c r="P463" s="12"/>
      <c r="Q463" s="12"/>
      <c r="R463" s="12" t="s">
        <v>63</v>
      </c>
      <c r="S463" s="12"/>
    </row>
    <row r="464" spans="1:19" x14ac:dyDescent="0.25">
      <c r="A464" s="5" t="s">
        <v>1037</v>
      </c>
      <c r="B464" s="5" t="s">
        <v>1038</v>
      </c>
      <c r="C464" s="6">
        <v>14.1</v>
      </c>
      <c r="D464" s="6">
        <v>10.7</v>
      </c>
      <c r="E464" s="8">
        <v>2</v>
      </c>
      <c r="F464" s="6">
        <v>4.2999999999999997E-2</v>
      </c>
      <c r="G464" s="5"/>
      <c r="H464" s="7" t="s">
        <v>61</v>
      </c>
      <c r="I464" s="5" t="s">
        <v>62</v>
      </c>
      <c r="J464" s="5" t="str">
        <f>IF(COUNTIF(packages_master!$A:$A,A464)&gt;0,"Y","N")</f>
        <v>N</v>
      </c>
      <c r="K464" s="5" t="str">
        <f t="shared" si="36"/>
        <v/>
      </c>
      <c r="L464" s="5" t="str">
        <f t="shared" si="37"/>
        <v/>
      </c>
      <c r="M464" s="5" t="str">
        <f t="shared" si="38"/>
        <v>NORMAL</v>
      </c>
      <c r="N464" s="5" t="str">
        <f t="shared" si="39"/>
        <v/>
      </c>
      <c r="O464" s="12"/>
      <c r="P464" s="12"/>
      <c r="Q464" s="12"/>
      <c r="R464" s="12" t="s">
        <v>63</v>
      </c>
      <c r="S464" s="12"/>
    </row>
    <row r="465" spans="1:19" x14ac:dyDescent="0.25">
      <c r="A465" s="5" t="s">
        <v>1039</v>
      </c>
      <c r="B465" s="5" t="s">
        <v>1040</v>
      </c>
      <c r="C465" s="6">
        <v>14.1</v>
      </c>
      <c r="D465" s="6">
        <v>10.7</v>
      </c>
      <c r="E465" s="8">
        <v>2</v>
      </c>
      <c r="F465" s="6">
        <v>4.2999999999999997E-2</v>
      </c>
      <c r="G465" s="5"/>
      <c r="H465" s="7" t="s">
        <v>61</v>
      </c>
      <c r="I465" s="5" t="s">
        <v>62</v>
      </c>
      <c r="J465" s="5" t="str">
        <f>IF(COUNTIF(packages_master!$A:$A,A465)&gt;0,"Y","N")</f>
        <v>N</v>
      </c>
      <c r="K465" s="5" t="str">
        <f t="shared" si="36"/>
        <v/>
      </c>
      <c r="L465" s="5" t="str">
        <f t="shared" si="37"/>
        <v/>
      </c>
      <c r="M465" s="5" t="str">
        <f t="shared" si="38"/>
        <v>NORMAL</v>
      </c>
      <c r="N465" s="5" t="str">
        <f t="shared" si="39"/>
        <v/>
      </c>
      <c r="O465" s="12"/>
      <c r="P465" s="12"/>
      <c r="Q465" s="12"/>
      <c r="R465" s="12" t="s">
        <v>63</v>
      </c>
      <c r="S465" s="12"/>
    </row>
    <row r="466" spans="1:19" x14ac:dyDescent="0.25">
      <c r="A466" s="5" t="s">
        <v>1041</v>
      </c>
      <c r="B466" s="5" t="s">
        <v>1042</v>
      </c>
      <c r="C466" s="6">
        <v>14.1</v>
      </c>
      <c r="D466" s="6">
        <v>10.7</v>
      </c>
      <c r="E466" s="8">
        <v>2</v>
      </c>
      <c r="F466" s="6">
        <v>4.2999999999999997E-2</v>
      </c>
      <c r="G466" s="5"/>
      <c r="H466" s="7" t="s">
        <v>61</v>
      </c>
      <c r="I466" s="5" t="s">
        <v>62</v>
      </c>
      <c r="J466" s="5" t="str">
        <f>IF(COUNTIF(packages_master!$A:$A,A466)&gt;0,"Y","N")</f>
        <v>N</v>
      </c>
      <c r="K466" s="5" t="str">
        <f t="shared" si="36"/>
        <v/>
      </c>
      <c r="L466" s="5" t="str">
        <f t="shared" si="37"/>
        <v/>
      </c>
      <c r="M466" s="5" t="str">
        <f t="shared" si="38"/>
        <v>NORMAL</v>
      </c>
      <c r="N466" s="5" t="str">
        <f t="shared" si="39"/>
        <v/>
      </c>
      <c r="O466" s="12"/>
      <c r="P466" s="12"/>
      <c r="Q466" s="12"/>
      <c r="R466" s="12" t="s">
        <v>63</v>
      </c>
      <c r="S466" s="12"/>
    </row>
    <row r="467" spans="1:19" x14ac:dyDescent="0.25">
      <c r="A467" s="5" t="s">
        <v>1043</v>
      </c>
      <c r="B467" s="5" t="s">
        <v>1044</v>
      </c>
      <c r="C467" s="6">
        <v>10.5</v>
      </c>
      <c r="D467" s="6">
        <v>7.2</v>
      </c>
      <c r="E467" s="6">
        <v>3.4</v>
      </c>
      <c r="F467" s="6">
        <v>8.4000000000000005E-2</v>
      </c>
      <c r="G467" s="5"/>
      <c r="H467" s="7" t="s">
        <v>61</v>
      </c>
      <c r="I467" s="5" t="s">
        <v>62</v>
      </c>
      <c r="J467" s="5" t="str">
        <f>IF(COUNTIF(packages_master!$A:$A,A467)&gt;0,"Y","N")</f>
        <v>N</v>
      </c>
      <c r="K467" s="5" t="str">
        <f t="shared" si="36"/>
        <v/>
      </c>
      <c r="L467" s="5" t="str">
        <f t="shared" si="37"/>
        <v/>
      </c>
      <c r="M467" s="5" t="str">
        <f t="shared" si="38"/>
        <v>NORMAL</v>
      </c>
      <c r="N467" s="5" t="str">
        <f t="shared" si="39"/>
        <v/>
      </c>
      <c r="O467" s="12"/>
      <c r="P467" s="12"/>
      <c r="Q467" s="12"/>
      <c r="R467" s="12" t="s">
        <v>63</v>
      </c>
      <c r="S467" s="12"/>
    </row>
    <row r="468" spans="1:19" x14ac:dyDescent="0.25">
      <c r="A468" s="5" t="s">
        <v>1045</v>
      </c>
      <c r="B468" s="5" t="s">
        <v>1046</v>
      </c>
      <c r="C468" s="6">
        <v>22.4</v>
      </c>
      <c r="D468" s="6">
        <v>12.1</v>
      </c>
      <c r="E468" s="6">
        <v>10.5</v>
      </c>
      <c r="F468" s="6">
        <v>1.4279999999999999</v>
      </c>
      <c r="G468" s="5"/>
      <c r="H468" s="7" t="s">
        <v>61</v>
      </c>
      <c r="I468" s="5" t="s">
        <v>62</v>
      </c>
      <c r="J468" s="5" t="str">
        <f>IF(COUNTIF(packages_master!$A:$A,A468)&gt;0,"Y","N")</f>
        <v>N</v>
      </c>
      <c r="K468" s="5" t="str">
        <f t="shared" si="36"/>
        <v/>
      </c>
      <c r="L468" s="5" t="str">
        <f t="shared" si="37"/>
        <v/>
      </c>
      <c r="M468" s="5" t="str">
        <f t="shared" si="38"/>
        <v>NORMAL</v>
      </c>
      <c r="N468" s="5" t="str">
        <f t="shared" si="39"/>
        <v/>
      </c>
      <c r="O468" s="12"/>
      <c r="P468" s="12"/>
      <c r="Q468" s="12"/>
      <c r="R468" s="12" t="s">
        <v>63</v>
      </c>
      <c r="S468" s="12"/>
    </row>
    <row r="469" spans="1:19" x14ac:dyDescent="0.25">
      <c r="A469" s="5" t="s">
        <v>1047</v>
      </c>
      <c r="B469" s="5" t="s">
        <v>470</v>
      </c>
      <c r="C469" s="6">
        <v>21.8</v>
      </c>
      <c r="D469" s="8">
        <v>7</v>
      </c>
      <c r="E469" s="6">
        <v>3.2</v>
      </c>
      <c r="F469" s="6">
        <v>6.4000000000000001E-2</v>
      </c>
      <c r="G469" s="5" t="s">
        <v>456</v>
      </c>
      <c r="H469" s="7" t="s">
        <v>61</v>
      </c>
      <c r="I469" s="5" t="s">
        <v>62</v>
      </c>
      <c r="J469" s="5" t="str">
        <f>IF(COUNTIF(packages_master!$A:$A,A469)&gt;0,"Y","N")</f>
        <v>N</v>
      </c>
      <c r="K469" s="5" t="str">
        <f t="shared" si="36"/>
        <v>BX010</v>
      </c>
      <c r="L469" s="5">
        <f t="shared" si="37"/>
        <v>300</v>
      </c>
      <c r="M469" s="5" t="str">
        <f t="shared" si="38"/>
        <v>SPECIAL_300</v>
      </c>
      <c r="N469" s="5" t="str">
        <f t="shared" si="39"/>
        <v/>
      </c>
      <c r="O469" s="12">
        <v>140</v>
      </c>
      <c r="P469" s="12" t="s">
        <v>1048</v>
      </c>
      <c r="Q469" s="12" t="s">
        <v>1049</v>
      </c>
      <c r="R469" s="12" t="s">
        <v>61</v>
      </c>
      <c r="S469" s="12" t="s">
        <v>1050</v>
      </c>
    </row>
    <row r="470" spans="1:19" x14ac:dyDescent="0.25">
      <c r="A470" s="5" t="s">
        <v>1051</v>
      </c>
      <c r="B470" s="5" t="s">
        <v>1052</v>
      </c>
      <c r="C470" s="6">
        <v>18.3</v>
      </c>
      <c r="D470" s="6">
        <v>8.9</v>
      </c>
      <c r="E470" s="6">
        <v>6.9</v>
      </c>
      <c r="F470" s="6">
        <v>0.33200000000000002</v>
      </c>
      <c r="G470" s="5"/>
      <c r="H470" s="7" t="s">
        <v>61</v>
      </c>
      <c r="I470" s="5" t="s">
        <v>62</v>
      </c>
      <c r="J470" s="5" t="str">
        <f>IF(COUNTIF(packages_master!$A:$A,A470)&gt;0,"Y","N")</f>
        <v>N</v>
      </c>
      <c r="K470" s="5" t="str">
        <f t="shared" si="36"/>
        <v/>
      </c>
      <c r="L470" s="5" t="str">
        <f t="shared" si="37"/>
        <v/>
      </c>
      <c r="M470" s="5" t="str">
        <f t="shared" si="38"/>
        <v>NORMAL</v>
      </c>
      <c r="N470" s="5" t="str">
        <f t="shared" si="39"/>
        <v/>
      </c>
      <c r="O470" s="12">
        <v>50</v>
      </c>
      <c r="P470" s="12" t="s">
        <v>1053</v>
      </c>
      <c r="Q470" s="12" t="s">
        <v>1054</v>
      </c>
      <c r="R470" s="12" t="s">
        <v>61</v>
      </c>
      <c r="S470" s="12" t="s">
        <v>1055</v>
      </c>
    </row>
    <row r="471" spans="1:19" x14ac:dyDescent="0.25">
      <c r="A471" s="5" t="s">
        <v>1056</v>
      </c>
      <c r="B471" s="5" t="s">
        <v>1057</v>
      </c>
      <c r="C471" s="6">
        <v>18.3</v>
      </c>
      <c r="D471" s="6">
        <v>8.9</v>
      </c>
      <c r="E471" s="6">
        <v>6.9</v>
      </c>
      <c r="F471" s="6">
        <v>0.33200000000000002</v>
      </c>
      <c r="G471" s="5"/>
      <c r="H471" s="7" t="s">
        <v>61</v>
      </c>
      <c r="I471" s="5" t="s">
        <v>62</v>
      </c>
      <c r="J471" s="5" t="str">
        <f>IF(COUNTIF(packages_master!$A:$A,A471)&gt;0,"Y","N")</f>
        <v>N</v>
      </c>
      <c r="K471" s="5" t="str">
        <f t="shared" si="36"/>
        <v/>
      </c>
      <c r="L471" s="5" t="str">
        <f t="shared" si="37"/>
        <v/>
      </c>
      <c r="M471" s="5" t="str">
        <f t="shared" si="38"/>
        <v>NORMAL</v>
      </c>
      <c r="N471" s="5" t="str">
        <f t="shared" si="39"/>
        <v/>
      </c>
      <c r="O471" s="12">
        <v>50</v>
      </c>
      <c r="P471" s="12" t="s">
        <v>1058</v>
      </c>
      <c r="Q471" s="12" t="s">
        <v>1059</v>
      </c>
      <c r="R471" s="12" t="s">
        <v>61</v>
      </c>
      <c r="S471" s="12" t="s">
        <v>1060</v>
      </c>
    </row>
    <row r="472" spans="1:19" x14ac:dyDescent="0.25">
      <c r="B472" s="5"/>
    </row>
  </sheetData>
  <mergeCells count="1">
    <mergeCell ref="A1:I1"/>
  </mergeCells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21"/>
  <sheetViews>
    <sheetView showGridLines="0" zoomScale="85" zoomScaleNormal="85" workbookViewId="0">
      <selection activeCell="A5" sqref="A5:A6"/>
    </sheetView>
  </sheetViews>
  <sheetFormatPr defaultRowHeight="15" x14ac:dyDescent="0.25"/>
  <cols>
    <col min="1" max="1" width="9.28515625" style="1" customWidth="1"/>
    <col min="2" max="2" width="13.42578125" style="1" customWidth="1"/>
    <col min="3" max="3" width="13.28515625" style="1" customWidth="1"/>
    <col min="4" max="6" width="15.42578125" style="1" customWidth="1"/>
    <col min="7" max="7" width="15" style="1" customWidth="1"/>
    <col min="8" max="8" width="17.28515625" style="1" customWidth="1"/>
    <col min="9" max="9" width="9.28515625" style="1" customWidth="1"/>
    <col min="10" max="10" width="20.28515625" style="1" customWidth="1"/>
    <col min="11" max="11" width="20" style="1" customWidth="1"/>
    <col min="12" max="12" width="15" style="1" customWidth="1"/>
    <col min="13" max="13" width="18" style="1" customWidth="1"/>
    <col min="14" max="15" width="16" style="1" customWidth="1"/>
    <col min="16" max="16" width="14" style="1" customWidth="1"/>
    <col min="17" max="17" width="42" style="1" customWidth="1"/>
  </cols>
  <sheetData>
    <row r="1" spans="1:17" ht="24" customHeight="1" x14ac:dyDescent="0.25">
      <c r="A1" s="25" t="s">
        <v>1097</v>
      </c>
      <c r="B1" s="26"/>
      <c r="C1" s="26"/>
      <c r="D1" s="26"/>
      <c r="E1" s="26"/>
      <c r="F1" s="26"/>
      <c r="G1" s="26"/>
      <c r="H1" s="26"/>
      <c r="I1" s="26"/>
      <c r="J1" s="26"/>
    </row>
    <row r="3" spans="1:17" ht="32.1" customHeight="1" x14ac:dyDescent="0.25">
      <c r="A3" s="11" t="s">
        <v>41</v>
      </c>
      <c r="B3" s="11" t="s">
        <v>42</v>
      </c>
      <c r="C3" s="11" t="s">
        <v>1098</v>
      </c>
      <c r="D3" s="11" t="s">
        <v>1099</v>
      </c>
      <c r="E3" s="11" t="s">
        <v>1100</v>
      </c>
      <c r="F3" s="11" t="s">
        <v>1101</v>
      </c>
      <c r="G3" s="11" t="s">
        <v>1102</v>
      </c>
      <c r="H3" s="11" t="s">
        <v>1103</v>
      </c>
      <c r="I3" s="11" t="s">
        <v>48</v>
      </c>
      <c r="J3" s="11" t="s">
        <v>49</v>
      </c>
      <c r="K3" s="11" t="s">
        <v>1104</v>
      </c>
      <c r="L3" s="11" t="s">
        <v>1105</v>
      </c>
      <c r="M3" s="11" t="s">
        <v>1106</v>
      </c>
      <c r="N3" s="11" t="s">
        <v>1107</v>
      </c>
      <c r="O3" s="11" t="s">
        <v>1108</v>
      </c>
      <c r="P3" s="11" t="s">
        <v>1109</v>
      </c>
      <c r="Q3" s="11" t="s">
        <v>1110</v>
      </c>
    </row>
    <row r="4" spans="1:17" ht="30" x14ac:dyDescent="0.25">
      <c r="A4" s="12" t="s">
        <v>722</v>
      </c>
      <c r="B4" s="12" t="s">
        <v>723</v>
      </c>
      <c r="C4" s="13">
        <v>10</v>
      </c>
      <c r="D4" s="14">
        <v>18.899999999999999</v>
      </c>
      <c r="E4" s="13">
        <v>10</v>
      </c>
      <c r="F4" s="14">
        <v>7.4</v>
      </c>
      <c r="G4" s="14">
        <v>0.29099999999999998</v>
      </c>
      <c r="H4" s="12" t="s">
        <v>1111</v>
      </c>
      <c r="I4" s="15" t="s">
        <v>61</v>
      </c>
      <c r="J4" s="12" t="s">
        <v>1112</v>
      </c>
      <c r="K4" s="12" t="s">
        <v>1113</v>
      </c>
      <c r="L4" s="12" t="str">
        <f>IF(COUNTIF(package_bom_master!$A:$A,A4)&gt;0,"Y","N")</f>
        <v>N</v>
      </c>
      <c r="M4" s="12" t="s">
        <v>1114</v>
      </c>
      <c r="N4" s="12" t="s">
        <v>1115</v>
      </c>
      <c r="O4" s="12" t="s">
        <v>1116</v>
      </c>
      <c r="P4" s="12" t="str">
        <f t="shared" ref="P4:P21" si="0">IF(COUNTA(D4:G4)=4,"OK","MANUAL_REVIEW")</f>
        <v>OK</v>
      </c>
      <c r="Q4" s="12" t="s">
        <v>1117</v>
      </c>
    </row>
    <row r="5" spans="1:17" ht="30" x14ac:dyDescent="0.25">
      <c r="A5" s="12" t="s">
        <v>1118</v>
      </c>
      <c r="B5" s="12" t="s">
        <v>1119</v>
      </c>
      <c r="C5" s="13">
        <v>10</v>
      </c>
      <c r="D5" s="14">
        <v>18.899999999999999</v>
      </c>
      <c r="E5" s="13">
        <v>10</v>
      </c>
      <c r="F5" s="14">
        <v>7.4</v>
      </c>
      <c r="G5" s="14">
        <v>0.29099999999999998</v>
      </c>
      <c r="H5" s="12" t="s">
        <v>1111</v>
      </c>
      <c r="I5" s="15" t="s">
        <v>61</v>
      </c>
      <c r="J5" s="12" t="s">
        <v>1112</v>
      </c>
      <c r="K5" s="12" t="s">
        <v>1113</v>
      </c>
      <c r="L5" s="12" t="str">
        <f>IF(COUNTIF(package_bom_master!$A:$A,A5)&gt;0,"Y","N")</f>
        <v>N</v>
      </c>
      <c r="M5" s="12" t="s">
        <v>1114</v>
      </c>
      <c r="N5" s="12" t="s">
        <v>1115</v>
      </c>
      <c r="O5" s="12" t="s">
        <v>1116</v>
      </c>
      <c r="P5" s="12" t="str">
        <f t="shared" si="0"/>
        <v>OK</v>
      </c>
      <c r="Q5" s="12" t="s">
        <v>1117</v>
      </c>
    </row>
    <row r="6" spans="1:17" ht="30" x14ac:dyDescent="0.25">
      <c r="A6" s="12" t="s">
        <v>1120</v>
      </c>
      <c r="B6" s="12" t="s">
        <v>1121</v>
      </c>
      <c r="C6" s="13">
        <v>10</v>
      </c>
      <c r="D6" s="14">
        <v>18.899999999999999</v>
      </c>
      <c r="E6" s="13">
        <v>10</v>
      </c>
      <c r="F6" s="14">
        <v>7.4</v>
      </c>
      <c r="G6" s="14">
        <v>0.29099999999999998</v>
      </c>
      <c r="H6" s="12" t="s">
        <v>1111</v>
      </c>
      <c r="I6" s="15" t="s">
        <v>61</v>
      </c>
      <c r="J6" s="12" t="s">
        <v>1112</v>
      </c>
      <c r="K6" s="12" t="s">
        <v>1113</v>
      </c>
      <c r="L6" s="12" t="str">
        <f>IF(COUNTIF(package_bom_master!$A:$A,A6)&gt;0,"Y","N")</f>
        <v>N</v>
      </c>
      <c r="M6" s="12" t="s">
        <v>1114</v>
      </c>
      <c r="N6" s="12" t="s">
        <v>1115</v>
      </c>
      <c r="O6" s="12" t="s">
        <v>1116</v>
      </c>
      <c r="P6" s="12" t="str">
        <f t="shared" si="0"/>
        <v>OK</v>
      </c>
      <c r="Q6" s="12" t="s">
        <v>1117</v>
      </c>
    </row>
    <row r="7" spans="1:17" ht="30" x14ac:dyDescent="0.25">
      <c r="A7" s="12" t="s">
        <v>1122</v>
      </c>
      <c r="B7" s="12" t="s">
        <v>1123</v>
      </c>
      <c r="C7" s="13">
        <v>10</v>
      </c>
      <c r="D7" s="14">
        <v>18.899999999999999</v>
      </c>
      <c r="E7" s="13">
        <v>10</v>
      </c>
      <c r="F7" s="14">
        <v>7.4</v>
      </c>
      <c r="G7" s="14">
        <v>0.29099999999999998</v>
      </c>
      <c r="H7" s="12" t="s">
        <v>1111</v>
      </c>
      <c r="I7" s="15" t="s">
        <v>61</v>
      </c>
      <c r="J7" s="12" t="s">
        <v>1112</v>
      </c>
      <c r="K7" s="12" t="s">
        <v>1113</v>
      </c>
      <c r="L7" s="12" t="str">
        <f>IF(COUNTIF(package_bom_master!$A:$A,A7)&gt;0,"Y","N")</f>
        <v>N</v>
      </c>
      <c r="M7" s="12" t="s">
        <v>1114</v>
      </c>
      <c r="N7" s="12" t="s">
        <v>1115</v>
      </c>
      <c r="O7" s="12" t="s">
        <v>1116</v>
      </c>
      <c r="P7" s="12" t="str">
        <f t="shared" si="0"/>
        <v>OK</v>
      </c>
      <c r="Q7" s="12" t="s">
        <v>1117</v>
      </c>
    </row>
    <row r="8" spans="1:17" ht="30" x14ac:dyDescent="0.25">
      <c r="A8" s="12" t="s">
        <v>1124</v>
      </c>
      <c r="B8" s="12" t="s">
        <v>1125</v>
      </c>
      <c r="C8" s="13">
        <v>10</v>
      </c>
      <c r="D8" s="14">
        <v>18.899999999999999</v>
      </c>
      <c r="E8" s="13">
        <v>10</v>
      </c>
      <c r="F8" s="14">
        <v>7.4</v>
      </c>
      <c r="G8" s="14">
        <v>0.29099999999999998</v>
      </c>
      <c r="H8" s="12" t="s">
        <v>1111</v>
      </c>
      <c r="I8" s="15" t="s">
        <v>61</v>
      </c>
      <c r="J8" s="12" t="s">
        <v>1112</v>
      </c>
      <c r="K8" s="12" t="s">
        <v>1113</v>
      </c>
      <c r="L8" s="12" t="str">
        <f>IF(COUNTIF(package_bom_master!$A:$A,A8)&gt;0,"Y","N")</f>
        <v>N</v>
      </c>
      <c r="M8" s="12" t="s">
        <v>1114</v>
      </c>
      <c r="N8" s="12" t="s">
        <v>1115</v>
      </c>
      <c r="O8" s="12" t="s">
        <v>1116</v>
      </c>
      <c r="P8" s="12" t="str">
        <f t="shared" si="0"/>
        <v>OK</v>
      </c>
      <c r="Q8" s="12" t="s">
        <v>1117</v>
      </c>
    </row>
    <row r="9" spans="1:17" ht="30" x14ac:dyDescent="0.25">
      <c r="A9" s="12" t="s">
        <v>101</v>
      </c>
      <c r="B9" s="19" t="s">
        <v>2070</v>
      </c>
      <c r="C9" s="13">
        <v>10</v>
      </c>
      <c r="D9" s="14">
        <v>18.899999999999999</v>
      </c>
      <c r="E9" s="13">
        <v>10</v>
      </c>
      <c r="F9" s="14">
        <v>7.4</v>
      </c>
      <c r="G9" s="14">
        <v>0.29099999999999998</v>
      </c>
      <c r="H9" s="12" t="s">
        <v>1111</v>
      </c>
      <c r="I9" s="15" t="s">
        <v>61</v>
      </c>
      <c r="J9" s="12" t="s">
        <v>1112</v>
      </c>
      <c r="K9" s="12" t="s">
        <v>1113</v>
      </c>
      <c r="L9" s="12" t="str">
        <f>IF(COUNTIF(package_bom_master!$A:$A,A9)&gt;0,"Y","N")</f>
        <v>N</v>
      </c>
      <c r="M9" s="12" t="s">
        <v>1114</v>
      </c>
      <c r="N9" s="12" t="s">
        <v>1115</v>
      </c>
      <c r="O9" s="12" t="s">
        <v>1116</v>
      </c>
      <c r="P9" s="12" t="str">
        <f t="shared" si="0"/>
        <v>OK</v>
      </c>
      <c r="Q9" s="12" t="s">
        <v>1117</v>
      </c>
    </row>
    <row r="10" spans="1:17" ht="30" x14ac:dyDescent="0.25">
      <c r="A10" s="12" t="s">
        <v>96</v>
      </c>
      <c r="B10" s="12" t="s">
        <v>97</v>
      </c>
      <c r="C10" s="13">
        <v>10</v>
      </c>
      <c r="D10" s="14">
        <v>18.899999999999999</v>
      </c>
      <c r="E10" s="13">
        <v>10</v>
      </c>
      <c r="F10" s="14">
        <v>7.4</v>
      </c>
      <c r="G10" s="14">
        <v>0.29099999999999998</v>
      </c>
      <c r="H10" s="12" t="s">
        <v>1111</v>
      </c>
      <c r="I10" s="15" t="s">
        <v>61</v>
      </c>
      <c r="J10" s="12" t="s">
        <v>1112</v>
      </c>
      <c r="K10" s="12" t="s">
        <v>1113</v>
      </c>
      <c r="L10" s="12" t="str">
        <f>IF(COUNTIF(package_bom_master!$A:$A,A10)&gt;0,"Y","N")</f>
        <v>N</v>
      </c>
      <c r="M10" s="12" t="s">
        <v>1114</v>
      </c>
      <c r="N10" s="12" t="s">
        <v>1115</v>
      </c>
      <c r="O10" s="12" t="s">
        <v>1116</v>
      </c>
      <c r="P10" s="12" t="str">
        <f t="shared" si="0"/>
        <v>OK</v>
      </c>
      <c r="Q10" s="12" t="s">
        <v>1117</v>
      </c>
    </row>
    <row r="11" spans="1:17" ht="30" x14ac:dyDescent="0.25">
      <c r="A11" s="12" t="s">
        <v>789</v>
      </c>
      <c r="B11" s="12" t="s">
        <v>790</v>
      </c>
      <c r="C11" s="13">
        <v>10</v>
      </c>
      <c r="D11" s="14">
        <v>18.899999999999999</v>
      </c>
      <c r="E11" s="13">
        <v>10</v>
      </c>
      <c r="F11" s="14">
        <v>7.4</v>
      </c>
      <c r="G11" s="14">
        <v>0.29099999999999998</v>
      </c>
      <c r="H11" s="12" t="s">
        <v>1111</v>
      </c>
      <c r="I11" s="15" t="s">
        <v>61</v>
      </c>
      <c r="J11" s="12" t="s">
        <v>1112</v>
      </c>
      <c r="K11" s="12" t="s">
        <v>1113</v>
      </c>
      <c r="L11" s="12" t="str">
        <f>IF(COUNTIF(package_bom_master!$A:$A,A11)&gt;0,"Y","N")</f>
        <v>N</v>
      </c>
      <c r="M11" s="12" t="s">
        <v>1114</v>
      </c>
      <c r="N11" s="12" t="s">
        <v>1115</v>
      </c>
      <c r="O11" s="12" t="s">
        <v>1116</v>
      </c>
      <c r="P11" s="12" t="str">
        <f t="shared" si="0"/>
        <v>OK</v>
      </c>
      <c r="Q11" s="12" t="s">
        <v>1117</v>
      </c>
    </row>
    <row r="12" spans="1:17" ht="30" x14ac:dyDescent="0.25">
      <c r="A12" s="12" t="s">
        <v>791</v>
      </c>
      <c r="B12" s="12" t="s">
        <v>792</v>
      </c>
      <c r="C12" s="13">
        <v>10</v>
      </c>
      <c r="D12" s="14">
        <v>18.899999999999999</v>
      </c>
      <c r="E12" s="13">
        <v>10</v>
      </c>
      <c r="F12" s="14">
        <v>7.4</v>
      </c>
      <c r="G12" s="14">
        <v>0.29099999999999998</v>
      </c>
      <c r="H12" s="12" t="s">
        <v>1111</v>
      </c>
      <c r="I12" s="15" t="s">
        <v>61</v>
      </c>
      <c r="J12" s="12" t="s">
        <v>1112</v>
      </c>
      <c r="K12" s="12" t="s">
        <v>1113</v>
      </c>
      <c r="L12" s="12" t="str">
        <f>IF(COUNTIF(package_bom_master!$A:$A,A12)&gt;0,"Y","N")</f>
        <v>N</v>
      </c>
      <c r="M12" s="12" t="s">
        <v>1114</v>
      </c>
      <c r="N12" s="12" t="s">
        <v>1115</v>
      </c>
      <c r="O12" s="12" t="s">
        <v>1116</v>
      </c>
      <c r="P12" s="12" t="str">
        <f t="shared" si="0"/>
        <v>OK</v>
      </c>
      <c r="Q12" s="12" t="s">
        <v>1117</v>
      </c>
    </row>
    <row r="13" spans="1:17" ht="30" x14ac:dyDescent="0.25">
      <c r="A13" s="12" t="s">
        <v>1127</v>
      </c>
      <c r="B13" s="12" t="s">
        <v>1128</v>
      </c>
      <c r="C13" s="13">
        <v>10</v>
      </c>
      <c r="D13" s="14">
        <v>18.7</v>
      </c>
      <c r="E13" s="14">
        <v>9.3000000000000007</v>
      </c>
      <c r="F13" s="14">
        <v>7.2</v>
      </c>
      <c r="G13" s="14">
        <v>0.29699999999999999</v>
      </c>
      <c r="H13" s="12" t="s">
        <v>1111</v>
      </c>
      <c r="I13" s="15" t="s">
        <v>61</v>
      </c>
      <c r="J13" s="12" t="s">
        <v>1112</v>
      </c>
      <c r="K13" s="12" t="s">
        <v>1113</v>
      </c>
      <c r="L13" s="12" t="str">
        <f>IF(COUNTIF(package_bom_master!$A:$A,A13)&gt;0,"Y","N")</f>
        <v>N</v>
      </c>
      <c r="M13" s="12" t="s">
        <v>1114</v>
      </c>
      <c r="N13" s="12" t="s">
        <v>1115</v>
      </c>
      <c r="O13" s="12" t="s">
        <v>1116</v>
      </c>
      <c r="P13" s="12" t="str">
        <f t="shared" si="0"/>
        <v>OK</v>
      </c>
      <c r="Q13" s="12" t="s">
        <v>1117</v>
      </c>
    </row>
    <row r="14" spans="1:17" ht="30" x14ac:dyDescent="0.25">
      <c r="A14" s="12" t="s">
        <v>1129</v>
      </c>
      <c r="B14" s="12" t="s">
        <v>1130</v>
      </c>
      <c r="C14" s="13">
        <v>10</v>
      </c>
      <c r="D14" s="14">
        <v>18.7</v>
      </c>
      <c r="E14" s="14">
        <v>9.3000000000000007</v>
      </c>
      <c r="F14" s="14">
        <v>7.2</v>
      </c>
      <c r="G14" s="14">
        <v>0.29699999999999999</v>
      </c>
      <c r="H14" s="12" t="s">
        <v>1111</v>
      </c>
      <c r="I14" s="15" t="s">
        <v>61</v>
      </c>
      <c r="J14" s="12" t="s">
        <v>1112</v>
      </c>
      <c r="K14" s="12" t="s">
        <v>1113</v>
      </c>
      <c r="L14" s="12" t="str">
        <f>IF(COUNTIF(package_bom_master!$A:$A,A14)&gt;0,"Y","N")</f>
        <v>N</v>
      </c>
      <c r="M14" s="12" t="s">
        <v>1114</v>
      </c>
      <c r="N14" s="12" t="s">
        <v>1115</v>
      </c>
      <c r="O14" s="12" t="s">
        <v>1116</v>
      </c>
      <c r="P14" s="12" t="str">
        <f t="shared" si="0"/>
        <v>OK</v>
      </c>
      <c r="Q14" s="12" t="s">
        <v>1117</v>
      </c>
    </row>
    <row r="15" spans="1:17" ht="30" x14ac:dyDescent="0.25">
      <c r="A15" s="12" t="s">
        <v>1131</v>
      </c>
      <c r="B15" s="12" t="s">
        <v>1132</v>
      </c>
      <c r="C15" s="13">
        <v>10</v>
      </c>
      <c r="D15" s="14">
        <v>18.7</v>
      </c>
      <c r="E15" s="14">
        <v>9.3000000000000007</v>
      </c>
      <c r="F15" s="14">
        <v>7.2</v>
      </c>
      <c r="G15" s="14">
        <v>0.29699999999999999</v>
      </c>
      <c r="H15" s="12" t="s">
        <v>1111</v>
      </c>
      <c r="I15" s="15" t="s">
        <v>61</v>
      </c>
      <c r="J15" s="12" t="s">
        <v>1112</v>
      </c>
      <c r="K15" s="12" t="s">
        <v>1113</v>
      </c>
      <c r="L15" s="12" t="str">
        <f>IF(COUNTIF(package_bom_master!$A:$A,A15)&gt;0,"Y","N")</f>
        <v>N</v>
      </c>
      <c r="M15" s="12" t="s">
        <v>1114</v>
      </c>
      <c r="N15" s="12" t="s">
        <v>1115</v>
      </c>
      <c r="O15" s="12" t="s">
        <v>1116</v>
      </c>
      <c r="P15" s="12" t="str">
        <f t="shared" si="0"/>
        <v>OK</v>
      </c>
      <c r="Q15" s="12" t="s">
        <v>1117</v>
      </c>
    </row>
    <row r="16" spans="1:17" ht="30" x14ac:dyDescent="0.25">
      <c r="A16" s="12" t="s">
        <v>1133</v>
      </c>
      <c r="B16" s="12" t="s">
        <v>1134</v>
      </c>
      <c r="C16" s="13">
        <v>10</v>
      </c>
      <c r="D16" s="14">
        <v>18.7</v>
      </c>
      <c r="E16" s="14">
        <v>9.3000000000000007</v>
      </c>
      <c r="F16" s="14">
        <v>7.2</v>
      </c>
      <c r="G16" s="14">
        <v>0.29699999999999999</v>
      </c>
      <c r="H16" s="12" t="s">
        <v>1111</v>
      </c>
      <c r="I16" s="15" t="s">
        <v>61</v>
      </c>
      <c r="J16" s="12" t="s">
        <v>1112</v>
      </c>
      <c r="K16" s="12" t="s">
        <v>1113</v>
      </c>
      <c r="L16" s="12" t="str">
        <f>IF(COUNTIF(package_bom_master!$A:$A,A16)&gt;0,"Y","N")</f>
        <v>N</v>
      </c>
      <c r="M16" s="12" t="s">
        <v>1114</v>
      </c>
      <c r="N16" s="12" t="s">
        <v>1115</v>
      </c>
      <c r="O16" s="12" t="s">
        <v>1116</v>
      </c>
      <c r="P16" s="12" t="str">
        <f t="shared" si="0"/>
        <v>OK</v>
      </c>
      <c r="Q16" s="12" t="s">
        <v>1117</v>
      </c>
    </row>
    <row r="17" spans="1:17" ht="30" x14ac:dyDescent="0.25">
      <c r="A17" s="12" t="s">
        <v>1135</v>
      </c>
      <c r="B17" s="12" t="s">
        <v>1136</v>
      </c>
      <c r="C17" s="13">
        <v>10</v>
      </c>
      <c r="D17" s="14">
        <v>18.7</v>
      </c>
      <c r="E17" s="14">
        <v>9.3000000000000007</v>
      </c>
      <c r="F17" s="14">
        <v>7.2</v>
      </c>
      <c r="G17" s="14">
        <v>0.29699999999999999</v>
      </c>
      <c r="H17" s="12" t="s">
        <v>1111</v>
      </c>
      <c r="I17" s="15" t="s">
        <v>61</v>
      </c>
      <c r="J17" s="12" t="s">
        <v>1112</v>
      </c>
      <c r="K17" s="12" t="s">
        <v>1113</v>
      </c>
      <c r="L17" s="12" t="str">
        <f>IF(COUNTIF(package_bom_master!$A:$A,A17)&gt;0,"Y","N")</f>
        <v>N</v>
      </c>
      <c r="M17" s="12" t="s">
        <v>1114</v>
      </c>
      <c r="N17" s="12" t="s">
        <v>1115</v>
      </c>
      <c r="O17" s="12" t="s">
        <v>1116</v>
      </c>
      <c r="P17" s="12" t="str">
        <f t="shared" si="0"/>
        <v>OK</v>
      </c>
      <c r="Q17" s="12" t="s">
        <v>1117</v>
      </c>
    </row>
    <row r="18" spans="1:17" ht="30" x14ac:dyDescent="0.25">
      <c r="A18" s="12" t="s">
        <v>1137</v>
      </c>
      <c r="B18" s="12" t="s">
        <v>1138</v>
      </c>
      <c r="C18" s="13">
        <v>10</v>
      </c>
      <c r="D18" s="14">
        <v>18.899999999999999</v>
      </c>
      <c r="E18" s="13">
        <v>10</v>
      </c>
      <c r="F18" s="14">
        <v>7.4</v>
      </c>
      <c r="G18" s="14">
        <v>0.29099999999999998</v>
      </c>
      <c r="H18" s="12" t="s">
        <v>1111</v>
      </c>
      <c r="I18" s="15" t="s">
        <v>61</v>
      </c>
      <c r="J18" s="12" t="s">
        <v>1112</v>
      </c>
      <c r="K18" s="12" t="s">
        <v>1113</v>
      </c>
      <c r="L18" s="12" t="str">
        <f>IF(COUNTIF(package_bom_master!$A:$A,A18)&gt;0,"Y","N")</f>
        <v>N</v>
      </c>
      <c r="M18" s="12" t="s">
        <v>1114</v>
      </c>
      <c r="N18" s="12" t="s">
        <v>1115</v>
      </c>
      <c r="O18" s="12" t="s">
        <v>1116</v>
      </c>
      <c r="P18" s="12" t="str">
        <f t="shared" si="0"/>
        <v>OK</v>
      </c>
      <c r="Q18" s="12" t="s">
        <v>1117</v>
      </c>
    </row>
    <row r="19" spans="1:17" ht="30" x14ac:dyDescent="0.25">
      <c r="A19" s="12" t="s">
        <v>1139</v>
      </c>
      <c r="B19" s="12" t="s">
        <v>1140</v>
      </c>
      <c r="C19" s="13">
        <v>10</v>
      </c>
      <c r="D19" s="14">
        <v>18.899999999999999</v>
      </c>
      <c r="E19" s="13">
        <v>10</v>
      </c>
      <c r="F19" s="14">
        <v>7.4</v>
      </c>
      <c r="G19" s="14">
        <v>0.29099999999999998</v>
      </c>
      <c r="H19" s="12" t="s">
        <v>1111</v>
      </c>
      <c r="I19" s="15" t="s">
        <v>61</v>
      </c>
      <c r="J19" s="12" t="s">
        <v>1112</v>
      </c>
      <c r="K19" s="12" t="s">
        <v>1113</v>
      </c>
      <c r="L19" s="12" t="str">
        <f>IF(COUNTIF(package_bom_master!$A:$A,A19)&gt;0,"Y","N")</f>
        <v>N</v>
      </c>
      <c r="M19" s="12" t="s">
        <v>1114</v>
      </c>
      <c r="N19" s="12" t="s">
        <v>1115</v>
      </c>
      <c r="O19" s="12" t="s">
        <v>1116</v>
      </c>
      <c r="P19" s="12" t="str">
        <f t="shared" si="0"/>
        <v>OK</v>
      </c>
      <c r="Q19" s="12" t="s">
        <v>1117</v>
      </c>
    </row>
    <row r="20" spans="1:17" ht="30" x14ac:dyDescent="0.25">
      <c r="A20" s="12" t="s">
        <v>1141</v>
      </c>
      <c r="B20" s="18" t="s">
        <v>2069</v>
      </c>
      <c r="C20" s="13">
        <v>10</v>
      </c>
      <c r="D20" s="14">
        <v>25.6</v>
      </c>
      <c r="E20" s="14">
        <v>9.3000000000000007</v>
      </c>
      <c r="F20" s="14">
        <v>9.3000000000000007</v>
      </c>
      <c r="G20" s="14">
        <v>0.36499999999999999</v>
      </c>
      <c r="H20" s="12" t="s">
        <v>1111</v>
      </c>
      <c r="I20" s="15" t="s">
        <v>61</v>
      </c>
      <c r="J20" s="12" t="s">
        <v>1112</v>
      </c>
      <c r="K20" s="12" t="s">
        <v>1113</v>
      </c>
      <c r="L20" s="12" t="str">
        <f>IF(COUNTIF(package_bom_master!$A:$A,A20)&gt;0,"Y","N")</f>
        <v>N</v>
      </c>
      <c r="M20" s="12" t="s">
        <v>1114</v>
      </c>
      <c r="N20" s="12" t="s">
        <v>1115</v>
      </c>
      <c r="O20" s="12" t="s">
        <v>1116</v>
      </c>
      <c r="P20" s="12" t="str">
        <f t="shared" si="0"/>
        <v>OK</v>
      </c>
      <c r="Q20" s="12" t="s">
        <v>1117</v>
      </c>
    </row>
    <row r="21" spans="1:17" ht="30" x14ac:dyDescent="0.25">
      <c r="A21" s="12" t="s">
        <v>1142</v>
      </c>
      <c r="B21" s="5" t="s">
        <v>65</v>
      </c>
      <c r="C21" s="13">
        <v>10</v>
      </c>
      <c r="D21" s="14">
        <v>25.6</v>
      </c>
      <c r="E21" s="14">
        <v>9.3000000000000007</v>
      </c>
      <c r="F21" s="14">
        <v>9.3000000000000007</v>
      </c>
      <c r="G21" s="14">
        <v>0.36499999999999999</v>
      </c>
      <c r="H21" s="12" t="s">
        <v>1111</v>
      </c>
      <c r="I21" s="15" t="s">
        <v>61</v>
      </c>
      <c r="J21" s="12" t="s">
        <v>1112</v>
      </c>
      <c r="K21" s="12" t="s">
        <v>1113</v>
      </c>
      <c r="L21" s="12" t="str">
        <f>IF(COUNTIF(package_bom_master!$A:$A,A21)&gt;0,"Y","N")</f>
        <v>N</v>
      </c>
      <c r="M21" s="12" t="s">
        <v>1114</v>
      </c>
      <c r="N21" s="12" t="s">
        <v>1115</v>
      </c>
      <c r="O21" s="12" t="s">
        <v>1116</v>
      </c>
      <c r="P21" s="12" t="str">
        <f t="shared" si="0"/>
        <v>OK</v>
      </c>
      <c r="Q21" s="12" t="s">
        <v>1117</v>
      </c>
    </row>
  </sheetData>
  <mergeCells count="1">
    <mergeCell ref="A1:J1"/>
  </mergeCells>
  <phoneticPr fontId="4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3"/>
  <sheetViews>
    <sheetView showGridLines="0" workbookViewId="0">
      <selection activeCell="B11" sqref="B11"/>
    </sheetView>
  </sheetViews>
  <sheetFormatPr defaultRowHeight="15" x14ac:dyDescent="0.25"/>
  <cols>
    <col min="1" max="1" width="9.28515625" style="1" customWidth="1"/>
    <col min="2" max="2" width="13.7109375" style="1" customWidth="1"/>
    <col min="3" max="3" width="11.28515625" style="1" customWidth="1"/>
    <col min="4" max="9" width="13.42578125" style="1" customWidth="1"/>
    <col min="10" max="10" width="12.85546875" style="1" customWidth="1"/>
    <col min="11" max="11" width="17" style="1" customWidth="1"/>
    <col min="12" max="12" width="6.85546875" style="1" customWidth="1"/>
    <col min="13" max="13" width="18.140625" style="1" customWidth="1"/>
    <col min="14" max="14" width="16" style="1" customWidth="1"/>
  </cols>
  <sheetData>
    <row r="1" spans="1:14" ht="24" customHeight="1" x14ac:dyDescent="0.25">
      <c r="A1" s="25" t="s">
        <v>1061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3"/>
    </row>
    <row r="3" spans="1:14" ht="32.1" customHeight="1" x14ac:dyDescent="0.25">
      <c r="A3" s="11" t="s">
        <v>1062</v>
      </c>
      <c r="B3" s="11" t="s">
        <v>1063</v>
      </c>
      <c r="C3" s="11" t="s">
        <v>1064</v>
      </c>
      <c r="D3" s="11" t="s">
        <v>1065</v>
      </c>
      <c r="E3" s="11" t="s">
        <v>1066</v>
      </c>
      <c r="F3" s="11" t="s">
        <v>1067</v>
      </c>
      <c r="G3" s="11" t="s">
        <v>1068</v>
      </c>
      <c r="H3" s="11" t="s">
        <v>1069</v>
      </c>
      <c r="I3" s="11" t="s">
        <v>1070</v>
      </c>
      <c r="J3" s="11" t="s">
        <v>1071</v>
      </c>
      <c r="K3" s="11" t="s">
        <v>1072</v>
      </c>
      <c r="L3" s="11" t="s">
        <v>1073</v>
      </c>
      <c r="M3" s="11" t="s">
        <v>49</v>
      </c>
      <c r="N3" s="11" t="s">
        <v>1074</v>
      </c>
    </row>
    <row r="4" spans="1:14" x14ac:dyDescent="0.25">
      <c r="A4" s="5" t="s">
        <v>1075</v>
      </c>
      <c r="B4" s="5" t="s">
        <v>1076</v>
      </c>
      <c r="C4" s="5" t="s">
        <v>1076</v>
      </c>
      <c r="D4" s="8">
        <v>22</v>
      </c>
      <c r="E4" s="8">
        <v>19</v>
      </c>
      <c r="F4" s="8">
        <v>9</v>
      </c>
      <c r="G4" s="8">
        <v>21</v>
      </c>
      <c r="H4" s="8">
        <v>18</v>
      </c>
      <c r="I4" s="8">
        <v>8</v>
      </c>
      <c r="J4" s="6">
        <v>0.12</v>
      </c>
      <c r="K4" s="8">
        <v>30</v>
      </c>
      <c r="L4" s="7" t="s">
        <v>61</v>
      </c>
      <c r="M4" s="5" t="s">
        <v>1077</v>
      </c>
      <c r="N4" s="8">
        <v>10</v>
      </c>
    </row>
    <row r="5" spans="1:14" x14ac:dyDescent="0.25">
      <c r="A5" s="5" t="s">
        <v>1078</v>
      </c>
      <c r="B5" s="5" t="s">
        <v>1079</v>
      </c>
      <c r="C5" s="5" t="s">
        <v>1079</v>
      </c>
      <c r="D5" s="8">
        <v>27</v>
      </c>
      <c r="E5" s="8">
        <v>18</v>
      </c>
      <c r="F5" s="8">
        <v>15</v>
      </c>
      <c r="G5" s="8">
        <v>26</v>
      </c>
      <c r="H5" s="8">
        <v>17</v>
      </c>
      <c r="I5" s="8">
        <v>14</v>
      </c>
      <c r="J5" s="6">
        <v>0.16</v>
      </c>
      <c r="K5" s="8">
        <v>30</v>
      </c>
      <c r="L5" s="7" t="s">
        <v>61</v>
      </c>
      <c r="M5" s="5" t="s">
        <v>1077</v>
      </c>
      <c r="N5" s="8">
        <v>9</v>
      </c>
    </row>
    <row r="6" spans="1:14" x14ac:dyDescent="0.25">
      <c r="A6" s="5" t="s">
        <v>1080</v>
      </c>
      <c r="B6" s="5" t="s">
        <v>1081</v>
      </c>
      <c r="C6" s="5" t="s">
        <v>1082</v>
      </c>
      <c r="D6" s="6">
        <v>34.5</v>
      </c>
      <c r="E6" s="6">
        <v>25.5</v>
      </c>
      <c r="F6" s="6">
        <v>10.5</v>
      </c>
      <c r="G6" s="6">
        <v>33.5</v>
      </c>
      <c r="H6" s="6">
        <v>24.5</v>
      </c>
      <c r="I6" s="6">
        <v>9.5</v>
      </c>
      <c r="J6" s="6">
        <v>0.24</v>
      </c>
      <c r="K6" s="8">
        <v>30</v>
      </c>
      <c r="L6" s="7" t="s">
        <v>61</v>
      </c>
      <c r="M6" s="5" t="s">
        <v>1077</v>
      </c>
      <c r="N6" s="8">
        <v>8</v>
      </c>
    </row>
    <row r="7" spans="1:14" x14ac:dyDescent="0.25">
      <c r="A7" s="5" t="s">
        <v>1083</v>
      </c>
      <c r="B7" s="5" t="s">
        <v>1084</v>
      </c>
      <c r="C7" s="5" t="s">
        <v>1084</v>
      </c>
      <c r="D7" s="8">
        <v>34</v>
      </c>
      <c r="E7" s="8">
        <v>25</v>
      </c>
      <c r="F7" s="8">
        <v>21</v>
      </c>
      <c r="G7" s="8">
        <v>33</v>
      </c>
      <c r="H7" s="8">
        <v>24</v>
      </c>
      <c r="I7" s="8">
        <v>20</v>
      </c>
      <c r="J7" s="6">
        <v>0.48</v>
      </c>
      <c r="K7" s="8">
        <v>30</v>
      </c>
      <c r="L7" s="7" t="s">
        <v>61</v>
      </c>
      <c r="M7" s="5" t="s">
        <v>1077</v>
      </c>
      <c r="N7" s="8">
        <v>7</v>
      </c>
    </row>
    <row r="8" spans="1:14" x14ac:dyDescent="0.25">
      <c r="A8" s="5" t="s">
        <v>1085</v>
      </c>
      <c r="B8" s="5" t="s">
        <v>1086</v>
      </c>
      <c r="C8" s="5" t="s">
        <v>1086</v>
      </c>
      <c r="D8" s="8">
        <v>41</v>
      </c>
      <c r="E8" s="8">
        <v>31</v>
      </c>
      <c r="F8" s="8">
        <v>28</v>
      </c>
      <c r="G8" s="8">
        <v>40</v>
      </c>
      <c r="H8" s="8">
        <v>30</v>
      </c>
      <c r="I8" s="8">
        <v>27</v>
      </c>
      <c r="J8" s="6">
        <v>0.57999999999999996</v>
      </c>
      <c r="K8" s="8">
        <v>30</v>
      </c>
      <c r="L8" s="7" t="s">
        <v>61</v>
      </c>
      <c r="M8" s="5" t="s">
        <v>1077</v>
      </c>
      <c r="N8" s="8">
        <v>6</v>
      </c>
    </row>
    <row r="9" spans="1:14" x14ac:dyDescent="0.25">
      <c r="A9" s="5" t="s">
        <v>1087</v>
      </c>
      <c r="B9" s="5" t="s">
        <v>1088</v>
      </c>
      <c r="C9" s="5" t="s">
        <v>1088</v>
      </c>
      <c r="D9" s="8">
        <v>48</v>
      </c>
      <c r="E9" s="8">
        <v>38</v>
      </c>
      <c r="F9" s="8">
        <v>34</v>
      </c>
      <c r="G9" s="8">
        <v>47</v>
      </c>
      <c r="H9" s="8">
        <v>37</v>
      </c>
      <c r="I9" s="8">
        <v>33</v>
      </c>
      <c r="J9" s="6">
        <v>0.94</v>
      </c>
      <c r="K9" s="8">
        <v>30</v>
      </c>
      <c r="L9" s="7" t="s">
        <v>61</v>
      </c>
      <c r="M9" s="5" t="s">
        <v>1077</v>
      </c>
      <c r="N9" s="8">
        <v>5</v>
      </c>
    </row>
    <row r="10" spans="1:14" x14ac:dyDescent="0.25">
      <c r="A10" s="5" t="s">
        <v>1089</v>
      </c>
      <c r="B10" s="5" t="s">
        <v>1090</v>
      </c>
      <c r="C10" s="5" t="s">
        <v>1090</v>
      </c>
      <c r="D10" s="8">
        <v>52</v>
      </c>
      <c r="E10" s="8">
        <v>48</v>
      </c>
      <c r="F10" s="8">
        <v>40</v>
      </c>
      <c r="G10" s="6">
        <v>51.5</v>
      </c>
      <c r="H10" s="6">
        <v>47.5</v>
      </c>
      <c r="I10" s="6">
        <v>39.5</v>
      </c>
      <c r="J10" s="6">
        <v>1.36</v>
      </c>
      <c r="K10" s="8">
        <v>30</v>
      </c>
      <c r="L10" s="7" t="s">
        <v>61</v>
      </c>
      <c r="M10" s="5" t="s">
        <v>1077</v>
      </c>
      <c r="N10" s="8">
        <v>3</v>
      </c>
    </row>
    <row r="11" spans="1:14" x14ac:dyDescent="0.25">
      <c r="A11" s="5" t="s">
        <v>1091</v>
      </c>
      <c r="B11" s="5" t="s">
        <v>1092</v>
      </c>
      <c r="C11" s="5" t="s">
        <v>1082</v>
      </c>
      <c r="D11" s="8">
        <v>60</v>
      </c>
      <c r="E11" s="8">
        <v>40</v>
      </c>
      <c r="F11" s="8">
        <v>40</v>
      </c>
      <c r="G11" s="8">
        <v>59</v>
      </c>
      <c r="H11" s="8">
        <v>39</v>
      </c>
      <c r="I11" s="8">
        <v>39</v>
      </c>
      <c r="J11" s="6">
        <v>1.24</v>
      </c>
      <c r="K11" s="8">
        <v>30</v>
      </c>
      <c r="L11" s="7" t="s">
        <v>61</v>
      </c>
      <c r="M11" s="5" t="s">
        <v>1077</v>
      </c>
      <c r="N11" s="8">
        <v>4</v>
      </c>
    </row>
    <row r="12" spans="1:14" x14ac:dyDescent="0.25">
      <c r="A12" s="5" t="s">
        <v>1093</v>
      </c>
      <c r="B12" s="5" t="s">
        <v>1094</v>
      </c>
      <c r="C12" s="5" t="s">
        <v>1082</v>
      </c>
      <c r="D12" s="8">
        <v>65</v>
      </c>
      <c r="E12" s="8">
        <v>45</v>
      </c>
      <c r="F12" s="8">
        <v>40</v>
      </c>
      <c r="G12" s="8">
        <v>64</v>
      </c>
      <c r="H12" s="8">
        <v>44</v>
      </c>
      <c r="I12" s="8">
        <v>39</v>
      </c>
      <c r="J12" s="6">
        <v>1.44</v>
      </c>
      <c r="K12" s="8">
        <v>30</v>
      </c>
      <c r="L12" s="7" t="s">
        <v>61</v>
      </c>
      <c r="M12" s="5" t="s">
        <v>1077</v>
      </c>
      <c r="N12" s="8">
        <v>2</v>
      </c>
    </row>
    <row r="13" spans="1:14" x14ac:dyDescent="0.25">
      <c r="A13" s="5" t="s">
        <v>1095</v>
      </c>
      <c r="B13" s="5" t="s">
        <v>1096</v>
      </c>
      <c r="C13" s="5" t="s">
        <v>1082</v>
      </c>
      <c r="D13" s="8">
        <v>72</v>
      </c>
      <c r="E13" s="8">
        <v>48</v>
      </c>
      <c r="F13" s="8">
        <v>40</v>
      </c>
      <c r="G13" s="8">
        <v>71</v>
      </c>
      <c r="H13" s="8">
        <v>47</v>
      </c>
      <c r="I13" s="8">
        <v>39</v>
      </c>
      <c r="J13" s="6">
        <v>1.68</v>
      </c>
      <c r="K13" s="8">
        <v>30</v>
      </c>
      <c r="L13" s="7" t="s">
        <v>61</v>
      </c>
      <c r="M13" s="5" t="s">
        <v>1077</v>
      </c>
      <c r="N13" s="8">
        <v>1</v>
      </c>
    </row>
  </sheetData>
  <mergeCells count="1">
    <mergeCell ref="A1:M1"/>
  </mergeCells>
  <phoneticPr fontId="4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4"/>
  <sheetViews>
    <sheetView workbookViewId="0">
      <selection activeCell="D34" sqref="D34"/>
    </sheetView>
  </sheetViews>
  <sheetFormatPr defaultRowHeight="15" x14ac:dyDescent="0.25"/>
  <cols>
    <col min="1" max="1" width="14" style="1" customWidth="1"/>
    <col min="2" max="2" width="20" style="1" customWidth="1"/>
    <col min="3" max="3" width="14" style="1" customWidth="1"/>
    <col min="4" max="4" width="20" style="1" customWidth="1"/>
    <col min="5" max="5" width="12" style="1" customWidth="1"/>
    <col min="6" max="6" width="18" style="1" customWidth="1"/>
    <col min="7" max="7" width="10" style="1" customWidth="1"/>
    <col min="8" max="8" width="18" style="1" customWidth="1"/>
    <col min="9" max="9" width="14" style="1" customWidth="1"/>
    <col min="10" max="10" width="28" style="1" customWidth="1"/>
  </cols>
  <sheetData>
    <row r="1" spans="1:10" ht="24" customHeight="1" x14ac:dyDescent="0.25">
      <c r="A1" s="3" t="s">
        <v>1143</v>
      </c>
    </row>
    <row r="3" spans="1:10" ht="32.1" customHeight="1" x14ac:dyDescent="0.25">
      <c r="A3" s="11" t="s">
        <v>1144</v>
      </c>
      <c r="B3" s="11" t="s">
        <v>1145</v>
      </c>
      <c r="C3" s="11" t="s">
        <v>1146</v>
      </c>
      <c r="D3" s="11" t="s">
        <v>1147</v>
      </c>
      <c r="E3" s="11" t="s">
        <v>1148</v>
      </c>
      <c r="F3" s="11" t="s">
        <v>1149</v>
      </c>
      <c r="G3" s="11" t="s">
        <v>48</v>
      </c>
      <c r="H3" s="11" t="s">
        <v>49</v>
      </c>
      <c r="I3" s="11" t="s">
        <v>1109</v>
      </c>
      <c r="J3" s="11" t="s">
        <v>1110</v>
      </c>
    </row>
    <row r="4" spans="1:10" ht="45" x14ac:dyDescent="0.25">
      <c r="A4" s="12"/>
      <c r="B4" s="5"/>
      <c r="C4" s="5"/>
      <c r="D4" s="5"/>
      <c r="E4" s="5"/>
      <c r="F4" s="5"/>
      <c r="G4" s="5"/>
      <c r="H4" s="5"/>
      <c r="I4" s="5"/>
      <c r="J4" s="12" t="s">
        <v>1150</v>
      </c>
    </row>
  </sheetData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181"/>
  <sheetViews>
    <sheetView showGridLines="0" topLeftCell="A139" workbookViewId="0">
      <selection activeCell="F164" sqref="F164"/>
    </sheetView>
  </sheetViews>
  <sheetFormatPr defaultRowHeight="15" x14ac:dyDescent="0.25"/>
  <cols>
    <col min="1" max="1" width="9.28515625" style="1" customWidth="1"/>
    <col min="2" max="2" width="29" style="1" customWidth="1"/>
    <col min="3" max="3" width="13.28515625" style="1" customWidth="1"/>
    <col min="4" max="6" width="15.42578125" style="1" customWidth="1"/>
    <col min="7" max="7" width="15" style="1" customWidth="1"/>
    <col min="8" max="9" width="9.28515625" style="1" customWidth="1"/>
    <col min="10" max="10" width="15.42578125" style="1" customWidth="1"/>
    <col min="11" max="14" width="16" style="1" customWidth="1"/>
    <col min="15" max="15" width="14" style="1" customWidth="1"/>
    <col min="16" max="16" width="18" style="1" customWidth="1"/>
    <col min="17" max="17" width="16" style="1" customWidth="1"/>
    <col min="18" max="18" width="40" style="1" customWidth="1"/>
    <col min="19" max="19" width="16" style="1" customWidth="1"/>
    <col min="20" max="20" width="18" style="1" customWidth="1"/>
    <col min="21" max="22" width="16" style="1" customWidth="1"/>
  </cols>
  <sheetData>
    <row r="1" spans="1:22" ht="24" customHeight="1" x14ac:dyDescent="0.25">
      <c r="A1" s="25" t="s">
        <v>1151</v>
      </c>
      <c r="B1" s="26"/>
      <c r="C1" s="26"/>
      <c r="D1" s="26"/>
      <c r="E1" s="26"/>
      <c r="F1" s="26"/>
      <c r="G1" s="26"/>
      <c r="H1" s="26"/>
      <c r="I1" s="26"/>
      <c r="J1" s="26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spans="1:22" x14ac:dyDescent="0.25">
      <c r="S2" s="2"/>
      <c r="T2" s="2"/>
      <c r="U2" s="2"/>
      <c r="V2" s="2"/>
    </row>
    <row r="3" spans="1:22" ht="32.1" customHeight="1" x14ac:dyDescent="0.25">
      <c r="A3" s="11" t="s">
        <v>41</v>
      </c>
      <c r="B3" s="11" t="s">
        <v>42</v>
      </c>
      <c r="C3" s="11" t="s">
        <v>55</v>
      </c>
      <c r="D3" s="11" t="s">
        <v>1152</v>
      </c>
      <c r="E3" s="11" t="s">
        <v>1153</v>
      </c>
      <c r="F3" s="11" t="s">
        <v>1154</v>
      </c>
      <c r="G3" s="11" t="s">
        <v>1155</v>
      </c>
      <c r="H3" s="11" t="s">
        <v>1156</v>
      </c>
      <c r="I3" s="11" t="s">
        <v>48</v>
      </c>
      <c r="J3" s="11" t="s">
        <v>49</v>
      </c>
      <c r="K3" s="11" t="s">
        <v>1157</v>
      </c>
      <c r="L3" s="11" t="s">
        <v>1158</v>
      </c>
      <c r="M3" s="11" t="s">
        <v>1159</v>
      </c>
      <c r="N3" s="11" t="s">
        <v>1160</v>
      </c>
      <c r="O3" s="11" t="s">
        <v>1161</v>
      </c>
      <c r="P3" s="11" t="s">
        <v>1108</v>
      </c>
      <c r="Q3" s="11" t="s">
        <v>1109</v>
      </c>
      <c r="R3" s="11" t="s">
        <v>1110</v>
      </c>
      <c r="S3" s="11" t="s">
        <v>56</v>
      </c>
      <c r="T3" s="11" t="s">
        <v>57</v>
      </c>
      <c r="U3" s="11" t="s">
        <v>58</v>
      </c>
      <c r="V3" s="11" t="s">
        <v>59</v>
      </c>
    </row>
    <row r="4" spans="1:22" x14ac:dyDescent="0.25">
      <c r="A4" s="5" t="s">
        <v>1162</v>
      </c>
      <c r="B4" s="5" t="s">
        <v>131</v>
      </c>
      <c r="C4" s="8">
        <v>100</v>
      </c>
      <c r="D4" s="8">
        <v>37</v>
      </c>
      <c r="E4" s="8">
        <v>37</v>
      </c>
      <c r="F4" s="8">
        <v>32</v>
      </c>
      <c r="G4" s="6">
        <v>4.7</v>
      </c>
      <c r="H4" s="8">
        <v>1</v>
      </c>
      <c r="I4" s="7" t="s">
        <v>61</v>
      </c>
      <c r="J4" s="5" t="s">
        <v>1163</v>
      </c>
      <c r="K4" s="5" t="s">
        <v>1164</v>
      </c>
      <c r="L4" s="5" t="s">
        <v>1165</v>
      </c>
      <c r="M4" s="5" t="s">
        <v>1166</v>
      </c>
      <c r="N4" s="7" t="s">
        <v>63</v>
      </c>
      <c r="O4" s="5"/>
      <c r="P4" s="5" t="s">
        <v>1167</v>
      </c>
      <c r="Q4" s="7" t="s">
        <v>1168</v>
      </c>
      <c r="R4" s="5" t="s">
        <v>1169</v>
      </c>
      <c r="S4" s="12" t="s">
        <v>1164</v>
      </c>
      <c r="T4" s="12" t="s">
        <v>1170</v>
      </c>
      <c r="U4" s="12" t="s">
        <v>61</v>
      </c>
      <c r="V4" s="12" t="s">
        <v>1171</v>
      </c>
    </row>
    <row r="5" spans="1:22" x14ac:dyDescent="0.25">
      <c r="A5" s="5" t="s">
        <v>1172</v>
      </c>
      <c r="B5" s="5" t="s">
        <v>1173</v>
      </c>
      <c r="C5" s="8">
        <v>100</v>
      </c>
      <c r="D5" s="8">
        <v>37</v>
      </c>
      <c r="E5" s="8">
        <v>37</v>
      </c>
      <c r="F5" s="8">
        <v>32</v>
      </c>
      <c r="G5" s="6">
        <v>4.7</v>
      </c>
      <c r="H5" s="8">
        <v>1</v>
      </c>
      <c r="I5" s="7" t="s">
        <v>61</v>
      </c>
      <c r="J5" s="5" t="s">
        <v>1163</v>
      </c>
      <c r="K5" s="5" t="s">
        <v>1164</v>
      </c>
      <c r="L5" s="5" t="s">
        <v>1165</v>
      </c>
      <c r="M5" s="5" t="s">
        <v>1166</v>
      </c>
      <c r="N5" s="7" t="s">
        <v>63</v>
      </c>
      <c r="O5" s="5"/>
      <c r="P5" s="5" t="s">
        <v>1167</v>
      </c>
      <c r="Q5" s="7" t="s">
        <v>1168</v>
      </c>
      <c r="R5" s="5" t="s">
        <v>1169</v>
      </c>
      <c r="S5" s="12" t="s">
        <v>1164</v>
      </c>
      <c r="T5" s="12" t="s">
        <v>1170</v>
      </c>
      <c r="U5" s="12" t="s">
        <v>61</v>
      </c>
      <c r="V5" s="12" t="s">
        <v>1171</v>
      </c>
    </row>
    <row r="6" spans="1:22" x14ac:dyDescent="0.25">
      <c r="A6" s="5" t="s">
        <v>1174</v>
      </c>
      <c r="B6" s="5" t="s">
        <v>125</v>
      </c>
      <c r="C6" s="8">
        <v>100</v>
      </c>
      <c r="D6" s="8">
        <v>38</v>
      </c>
      <c r="E6" s="8">
        <v>37</v>
      </c>
      <c r="F6" s="6">
        <v>25.5</v>
      </c>
      <c r="G6" s="6">
        <v>4.5</v>
      </c>
      <c r="H6" s="8">
        <v>1</v>
      </c>
      <c r="I6" s="7" t="s">
        <v>61</v>
      </c>
      <c r="J6" s="5" t="s">
        <v>1163</v>
      </c>
      <c r="K6" s="5" t="s">
        <v>1175</v>
      </c>
      <c r="L6" s="5" t="s">
        <v>1165</v>
      </c>
      <c r="M6" s="5" t="s">
        <v>1166</v>
      </c>
      <c r="N6" s="7" t="s">
        <v>63</v>
      </c>
      <c r="O6" s="5"/>
      <c r="P6" s="5" t="s">
        <v>1167</v>
      </c>
      <c r="Q6" s="7" t="s">
        <v>1168</v>
      </c>
      <c r="R6" s="5" t="s">
        <v>1169</v>
      </c>
      <c r="S6" s="12" t="s">
        <v>1175</v>
      </c>
      <c r="T6" s="12" t="s">
        <v>1176</v>
      </c>
      <c r="U6" s="12" t="s">
        <v>61</v>
      </c>
      <c r="V6" s="12" t="s">
        <v>1177</v>
      </c>
    </row>
    <row r="7" spans="1:22" x14ac:dyDescent="0.25">
      <c r="A7" s="5" t="s">
        <v>1178</v>
      </c>
      <c r="B7" s="5" t="s">
        <v>129</v>
      </c>
      <c r="C7" s="8">
        <v>100</v>
      </c>
      <c r="D7" s="8">
        <v>37</v>
      </c>
      <c r="E7" s="8">
        <v>37</v>
      </c>
      <c r="F7" s="8">
        <v>32</v>
      </c>
      <c r="G7" s="6">
        <v>4.7</v>
      </c>
      <c r="H7" s="8">
        <v>1</v>
      </c>
      <c r="I7" s="7" t="s">
        <v>61</v>
      </c>
      <c r="J7" s="5" t="s">
        <v>1163</v>
      </c>
      <c r="K7" s="5" t="s">
        <v>1164</v>
      </c>
      <c r="L7" s="5" t="s">
        <v>1165</v>
      </c>
      <c r="M7" s="5" t="s">
        <v>1166</v>
      </c>
      <c r="N7" s="7" t="s">
        <v>63</v>
      </c>
      <c r="O7" s="5"/>
      <c r="P7" s="5" t="s">
        <v>1167</v>
      </c>
      <c r="Q7" s="7" t="s">
        <v>1168</v>
      </c>
      <c r="R7" s="5" t="s">
        <v>1169</v>
      </c>
      <c r="S7" s="12" t="s">
        <v>1164</v>
      </c>
      <c r="T7" s="12" t="s">
        <v>1170</v>
      </c>
      <c r="U7" s="12" t="s">
        <v>61</v>
      </c>
      <c r="V7" s="12" t="s">
        <v>1171</v>
      </c>
    </row>
    <row r="8" spans="1:22" x14ac:dyDescent="0.25">
      <c r="A8" s="5" t="s">
        <v>1179</v>
      </c>
      <c r="B8" s="5" t="s">
        <v>1180</v>
      </c>
      <c r="C8" s="8">
        <v>100</v>
      </c>
      <c r="D8" s="8">
        <v>37</v>
      </c>
      <c r="E8" s="8">
        <v>37</v>
      </c>
      <c r="F8" s="8">
        <v>32</v>
      </c>
      <c r="G8" s="6">
        <v>4.7</v>
      </c>
      <c r="H8" s="8">
        <v>1</v>
      </c>
      <c r="I8" s="7" t="s">
        <v>61</v>
      </c>
      <c r="J8" s="5" t="s">
        <v>1163</v>
      </c>
      <c r="K8" s="5" t="s">
        <v>1164</v>
      </c>
      <c r="L8" s="5" t="s">
        <v>1165</v>
      </c>
      <c r="M8" s="5" t="s">
        <v>1166</v>
      </c>
      <c r="N8" s="7" t="s">
        <v>63</v>
      </c>
      <c r="O8" s="5"/>
      <c r="P8" s="5" t="s">
        <v>1167</v>
      </c>
      <c r="Q8" s="7" t="s">
        <v>1168</v>
      </c>
      <c r="R8" s="5" t="s">
        <v>1169</v>
      </c>
      <c r="S8" s="12" t="s">
        <v>1164</v>
      </c>
      <c r="T8" s="12" t="s">
        <v>1170</v>
      </c>
      <c r="U8" s="12" t="s">
        <v>61</v>
      </c>
      <c r="V8" s="12" t="s">
        <v>1171</v>
      </c>
    </row>
    <row r="9" spans="1:22" x14ac:dyDescent="0.25">
      <c r="A9" s="5" t="s">
        <v>1181</v>
      </c>
      <c r="B9" s="5" t="s">
        <v>127</v>
      </c>
      <c r="C9" s="8">
        <v>100</v>
      </c>
      <c r="D9" s="8">
        <v>38</v>
      </c>
      <c r="E9" s="8">
        <v>37</v>
      </c>
      <c r="F9" s="6">
        <v>25.5</v>
      </c>
      <c r="G9" s="6">
        <v>4.5</v>
      </c>
      <c r="H9" s="8">
        <v>1</v>
      </c>
      <c r="I9" s="7" t="s">
        <v>61</v>
      </c>
      <c r="J9" s="5" t="s">
        <v>1163</v>
      </c>
      <c r="K9" s="5" t="s">
        <v>1175</v>
      </c>
      <c r="L9" s="5" t="s">
        <v>1165</v>
      </c>
      <c r="M9" s="5" t="s">
        <v>1166</v>
      </c>
      <c r="N9" s="7" t="s">
        <v>63</v>
      </c>
      <c r="O9" s="5"/>
      <c r="P9" s="5" t="s">
        <v>1167</v>
      </c>
      <c r="Q9" s="7" t="s">
        <v>1168</v>
      </c>
      <c r="R9" s="5" t="s">
        <v>1169</v>
      </c>
      <c r="S9" s="12" t="s">
        <v>1175</v>
      </c>
      <c r="T9" s="12" t="s">
        <v>1176</v>
      </c>
      <c r="U9" s="12" t="s">
        <v>61</v>
      </c>
      <c r="V9" s="12" t="s">
        <v>1177</v>
      </c>
    </row>
    <row r="10" spans="1:22" x14ac:dyDescent="0.25">
      <c r="A10" s="5" t="s">
        <v>1182</v>
      </c>
      <c r="B10" s="5" t="s">
        <v>123</v>
      </c>
      <c r="C10" s="8">
        <v>100</v>
      </c>
      <c r="D10" s="8">
        <v>38</v>
      </c>
      <c r="E10" s="8">
        <v>37</v>
      </c>
      <c r="F10" s="6">
        <v>25.5</v>
      </c>
      <c r="G10" s="6">
        <v>4.5</v>
      </c>
      <c r="H10" s="8">
        <v>1</v>
      </c>
      <c r="I10" s="7" t="s">
        <v>61</v>
      </c>
      <c r="J10" s="5" t="s">
        <v>1163</v>
      </c>
      <c r="K10" s="5" t="s">
        <v>1175</v>
      </c>
      <c r="L10" s="5" t="s">
        <v>1165</v>
      </c>
      <c r="M10" s="5" t="s">
        <v>1166</v>
      </c>
      <c r="N10" s="7" t="s">
        <v>63</v>
      </c>
      <c r="O10" s="5"/>
      <c r="P10" s="5" t="s">
        <v>1167</v>
      </c>
      <c r="Q10" s="7" t="s">
        <v>1168</v>
      </c>
      <c r="R10" s="5" t="s">
        <v>1169</v>
      </c>
      <c r="S10" s="12" t="s">
        <v>1175</v>
      </c>
      <c r="T10" s="12" t="s">
        <v>1176</v>
      </c>
      <c r="U10" s="12" t="s">
        <v>61</v>
      </c>
      <c r="V10" s="12" t="s">
        <v>1177</v>
      </c>
    </row>
    <row r="11" spans="1:22" x14ac:dyDescent="0.25">
      <c r="A11" s="5" t="s">
        <v>1183</v>
      </c>
      <c r="B11" s="5" t="s">
        <v>139</v>
      </c>
      <c r="C11" s="8">
        <v>60</v>
      </c>
      <c r="D11" s="8">
        <v>53</v>
      </c>
      <c r="E11" s="8">
        <v>37</v>
      </c>
      <c r="F11" s="8">
        <v>34</v>
      </c>
      <c r="G11" s="6">
        <v>23.4</v>
      </c>
      <c r="H11" s="8">
        <v>1</v>
      </c>
      <c r="I11" s="7" t="s">
        <v>61</v>
      </c>
      <c r="J11" s="5" t="s">
        <v>1163</v>
      </c>
      <c r="K11" s="5" t="s">
        <v>1184</v>
      </c>
      <c r="L11" s="5" t="s">
        <v>1165</v>
      </c>
      <c r="M11" s="5" t="s">
        <v>1166</v>
      </c>
      <c r="N11" s="7" t="s">
        <v>63</v>
      </c>
      <c r="O11" s="5"/>
      <c r="P11" s="5" t="s">
        <v>1167</v>
      </c>
      <c r="Q11" s="7" t="s">
        <v>1168</v>
      </c>
      <c r="R11" s="5" t="s">
        <v>1169</v>
      </c>
      <c r="S11" s="12" t="s">
        <v>1184</v>
      </c>
      <c r="T11" s="12" t="s">
        <v>1185</v>
      </c>
      <c r="U11" s="12" t="s">
        <v>61</v>
      </c>
      <c r="V11" s="12" t="s">
        <v>1186</v>
      </c>
    </row>
    <row r="12" spans="1:22" x14ac:dyDescent="0.25">
      <c r="A12" s="5" t="s">
        <v>1187</v>
      </c>
      <c r="B12" s="5" t="s">
        <v>151</v>
      </c>
      <c r="C12" s="8">
        <v>200</v>
      </c>
      <c r="D12" s="8">
        <v>60</v>
      </c>
      <c r="E12" s="8">
        <v>42</v>
      </c>
      <c r="F12" s="8">
        <v>42</v>
      </c>
      <c r="G12" s="6">
        <v>10.5</v>
      </c>
      <c r="H12" s="8">
        <v>1</v>
      </c>
      <c r="I12" s="7" t="s">
        <v>61</v>
      </c>
      <c r="J12" s="5" t="s">
        <v>1163</v>
      </c>
      <c r="K12" s="5" t="s">
        <v>1188</v>
      </c>
      <c r="L12" s="5" t="s">
        <v>1165</v>
      </c>
      <c r="M12" s="5" t="s">
        <v>1166</v>
      </c>
      <c r="N12" s="7" t="s">
        <v>63</v>
      </c>
      <c r="O12" s="5"/>
      <c r="P12" s="5" t="s">
        <v>1167</v>
      </c>
      <c r="Q12" s="7" t="s">
        <v>1168</v>
      </c>
      <c r="R12" s="5" t="s">
        <v>1169</v>
      </c>
      <c r="S12" s="12" t="s">
        <v>1188</v>
      </c>
      <c r="T12" s="12" t="s">
        <v>1189</v>
      </c>
      <c r="U12" s="12" t="s">
        <v>61</v>
      </c>
      <c r="V12" s="12" t="s">
        <v>1190</v>
      </c>
    </row>
    <row r="13" spans="1:22" x14ac:dyDescent="0.25">
      <c r="A13" s="5" t="s">
        <v>1191</v>
      </c>
      <c r="B13" s="5" t="s">
        <v>149</v>
      </c>
      <c r="C13" s="8">
        <v>100</v>
      </c>
      <c r="D13" s="8">
        <v>56</v>
      </c>
      <c r="E13" s="8">
        <v>42</v>
      </c>
      <c r="F13" s="8">
        <v>41</v>
      </c>
      <c r="G13" s="6">
        <v>9.0500000000000007</v>
      </c>
      <c r="H13" s="8">
        <v>1</v>
      </c>
      <c r="I13" s="7" t="s">
        <v>61</v>
      </c>
      <c r="J13" s="5" t="s">
        <v>1163</v>
      </c>
      <c r="K13" s="5" t="s">
        <v>1192</v>
      </c>
      <c r="L13" s="5" t="s">
        <v>1165</v>
      </c>
      <c r="M13" s="5" t="s">
        <v>1166</v>
      </c>
      <c r="N13" s="7" t="s">
        <v>63</v>
      </c>
      <c r="O13" s="5"/>
      <c r="P13" s="5" t="s">
        <v>1167</v>
      </c>
      <c r="Q13" s="7" t="s">
        <v>1168</v>
      </c>
      <c r="R13" s="5" t="s">
        <v>1169</v>
      </c>
      <c r="S13" s="12" t="s">
        <v>1192</v>
      </c>
      <c r="T13" s="12" t="s">
        <v>1193</v>
      </c>
      <c r="U13" s="12" t="s">
        <v>61</v>
      </c>
      <c r="V13" s="12" t="s">
        <v>1194</v>
      </c>
    </row>
    <row r="14" spans="1:22" x14ac:dyDescent="0.25">
      <c r="A14" s="5" t="s">
        <v>1195</v>
      </c>
      <c r="B14" s="5" t="s">
        <v>153</v>
      </c>
      <c r="C14" s="8">
        <v>200</v>
      </c>
      <c r="D14" s="8">
        <v>60</v>
      </c>
      <c r="E14" s="8">
        <v>42</v>
      </c>
      <c r="F14" s="8">
        <v>42</v>
      </c>
      <c r="G14" s="6">
        <v>10.34</v>
      </c>
      <c r="H14" s="8">
        <v>1</v>
      </c>
      <c r="I14" s="7" t="s">
        <v>61</v>
      </c>
      <c r="J14" s="5" t="s">
        <v>1163</v>
      </c>
      <c r="K14" s="5" t="s">
        <v>1196</v>
      </c>
      <c r="L14" s="5" t="s">
        <v>1165</v>
      </c>
      <c r="M14" s="5" t="s">
        <v>1166</v>
      </c>
      <c r="N14" s="7" t="s">
        <v>63</v>
      </c>
      <c r="O14" s="5"/>
      <c r="P14" s="5" t="s">
        <v>1167</v>
      </c>
      <c r="Q14" s="7" t="s">
        <v>1168</v>
      </c>
      <c r="R14" s="5" t="s">
        <v>1169</v>
      </c>
      <c r="S14" s="12" t="s">
        <v>1196</v>
      </c>
      <c r="T14" s="12" t="s">
        <v>1189</v>
      </c>
      <c r="U14" s="12" t="s">
        <v>61</v>
      </c>
      <c r="V14" s="12" t="s">
        <v>1197</v>
      </c>
    </row>
    <row r="15" spans="1:22" x14ac:dyDescent="0.25">
      <c r="A15" s="5" t="s">
        <v>1198</v>
      </c>
      <c r="B15" s="5" t="s">
        <v>1199</v>
      </c>
      <c r="C15" s="8">
        <v>30</v>
      </c>
      <c r="D15" s="8">
        <v>39</v>
      </c>
      <c r="E15" s="8">
        <v>25</v>
      </c>
      <c r="F15" s="8">
        <v>22</v>
      </c>
      <c r="G15" s="6">
        <v>2.5499999999999998</v>
      </c>
      <c r="H15" s="8">
        <v>1</v>
      </c>
      <c r="I15" s="7" t="s">
        <v>61</v>
      </c>
      <c r="J15" s="5" t="s">
        <v>1163</v>
      </c>
      <c r="K15" s="5" t="s">
        <v>1200</v>
      </c>
      <c r="L15" s="5" t="s">
        <v>1165</v>
      </c>
      <c r="M15" s="5" t="s">
        <v>1166</v>
      </c>
      <c r="N15" s="7" t="s">
        <v>63</v>
      </c>
      <c r="O15" s="5"/>
      <c r="P15" s="5" t="s">
        <v>1167</v>
      </c>
      <c r="Q15" s="7" t="s">
        <v>1168</v>
      </c>
      <c r="R15" s="5" t="s">
        <v>1169</v>
      </c>
      <c r="S15" s="12" t="s">
        <v>1200</v>
      </c>
      <c r="T15" s="12" t="s">
        <v>1201</v>
      </c>
      <c r="U15" s="12" t="s">
        <v>61</v>
      </c>
      <c r="V15" s="12" t="s">
        <v>1202</v>
      </c>
    </row>
    <row r="16" spans="1:22" x14ac:dyDescent="0.25">
      <c r="A16" s="5" t="s">
        <v>1198</v>
      </c>
      <c r="B16" s="5" t="s">
        <v>1203</v>
      </c>
      <c r="C16" s="8">
        <v>100</v>
      </c>
      <c r="D16" s="8">
        <v>48</v>
      </c>
      <c r="E16" s="8">
        <v>40</v>
      </c>
      <c r="F16" s="8">
        <v>38</v>
      </c>
      <c r="G16" s="6">
        <v>8.1999999999999993</v>
      </c>
      <c r="H16" s="8">
        <v>1</v>
      </c>
      <c r="I16" s="7" t="s">
        <v>61</v>
      </c>
      <c r="J16" s="5" t="s">
        <v>1163</v>
      </c>
      <c r="K16" s="5" t="s">
        <v>1204</v>
      </c>
      <c r="L16" s="5" t="s">
        <v>1165</v>
      </c>
      <c r="M16" s="5" t="s">
        <v>1166</v>
      </c>
      <c r="N16" s="7" t="s">
        <v>63</v>
      </c>
      <c r="O16" s="5"/>
      <c r="P16" s="5" t="s">
        <v>1167</v>
      </c>
      <c r="Q16" s="7" t="s">
        <v>1168</v>
      </c>
      <c r="R16" s="5" t="s">
        <v>1169</v>
      </c>
      <c r="S16" s="12" t="s">
        <v>1204</v>
      </c>
      <c r="T16" s="12" t="s">
        <v>1205</v>
      </c>
      <c r="U16" s="12" t="s">
        <v>61</v>
      </c>
      <c r="V16" s="12" t="s">
        <v>1206</v>
      </c>
    </row>
    <row r="17" spans="1:22" ht="30" x14ac:dyDescent="0.25">
      <c r="A17" s="5" t="s">
        <v>722</v>
      </c>
      <c r="B17" s="5" t="s">
        <v>723</v>
      </c>
      <c r="C17" s="8">
        <v>200</v>
      </c>
      <c r="D17" s="6">
        <v>39.5</v>
      </c>
      <c r="E17" s="6">
        <v>22.5</v>
      </c>
      <c r="F17" s="6">
        <v>39.5</v>
      </c>
      <c r="G17" s="6">
        <v>6.7</v>
      </c>
      <c r="H17" s="8">
        <v>1</v>
      </c>
      <c r="I17" s="7" t="s">
        <v>61</v>
      </c>
      <c r="J17" s="5" t="s">
        <v>1163</v>
      </c>
      <c r="K17" s="5" t="s">
        <v>724</v>
      </c>
      <c r="L17" s="5" t="s">
        <v>1165</v>
      </c>
      <c r="M17" s="5" t="s">
        <v>1166</v>
      </c>
      <c r="N17" s="7" t="s">
        <v>63</v>
      </c>
      <c r="O17" s="5"/>
      <c r="P17" s="5" t="s">
        <v>1167</v>
      </c>
      <c r="Q17" s="7" t="s">
        <v>1168</v>
      </c>
      <c r="R17" s="5" t="s">
        <v>1169</v>
      </c>
      <c r="S17" s="12" t="s">
        <v>724</v>
      </c>
      <c r="T17" s="12" t="s">
        <v>99</v>
      </c>
      <c r="U17" s="12" t="s">
        <v>61</v>
      </c>
      <c r="V17" s="12" t="s">
        <v>725</v>
      </c>
    </row>
    <row r="18" spans="1:22" x14ac:dyDescent="0.25">
      <c r="A18" s="5" t="s">
        <v>1207</v>
      </c>
      <c r="B18" s="5" t="s">
        <v>1208</v>
      </c>
      <c r="C18" s="8">
        <v>100</v>
      </c>
      <c r="D18" s="8">
        <v>46</v>
      </c>
      <c r="E18" s="8">
        <v>37</v>
      </c>
      <c r="F18" s="8">
        <v>32</v>
      </c>
      <c r="G18" s="6">
        <v>6.2</v>
      </c>
      <c r="H18" s="8">
        <v>1</v>
      </c>
      <c r="I18" s="7" t="s">
        <v>61</v>
      </c>
      <c r="J18" s="5" t="s">
        <v>1163</v>
      </c>
      <c r="K18" s="5" t="s">
        <v>751</v>
      </c>
      <c r="L18" s="5" t="s">
        <v>1165</v>
      </c>
      <c r="M18" s="5" t="s">
        <v>1166</v>
      </c>
      <c r="N18" s="7" t="s">
        <v>63</v>
      </c>
      <c r="O18" s="5"/>
      <c r="P18" s="5" t="s">
        <v>1167</v>
      </c>
      <c r="Q18" s="7" t="s">
        <v>1168</v>
      </c>
      <c r="R18" s="5" t="s">
        <v>1169</v>
      </c>
      <c r="S18" s="12" t="s">
        <v>751</v>
      </c>
      <c r="T18" s="12" t="s">
        <v>739</v>
      </c>
      <c r="U18" s="12" t="s">
        <v>61</v>
      </c>
      <c r="V18" s="12" t="s">
        <v>752</v>
      </c>
    </row>
    <row r="19" spans="1:22" x14ac:dyDescent="0.25">
      <c r="A19" s="5" t="s">
        <v>1209</v>
      </c>
      <c r="B19" s="5" t="s">
        <v>1210</v>
      </c>
      <c r="C19" s="8">
        <v>100</v>
      </c>
      <c r="D19" s="8">
        <v>46</v>
      </c>
      <c r="E19" s="8">
        <v>37</v>
      </c>
      <c r="F19" s="8">
        <v>32</v>
      </c>
      <c r="G19" s="6">
        <v>6.2</v>
      </c>
      <c r="H19" s="8">
        <v>1</v>
      </c>
      <c r="I19" s="7" t="s">
        <v>61</v>
      </c>
      <c r="J19" s="5" t="s">
        <v>1163</v>
      </c>
      <c r="K19" s="5" t="s">
        <v>751</v>
      </c>
      <c r="L19" s="5" t="s">
        <v>1165</v>
      </c>
      <c r="M19" s="5" t="s">
        <v>1166</v>
      </c>
      <c r="N19" s="7" t="s">
        <v>63</v>
      </c>
      <c r="O19" s="5"/>
      <c r="P19" s="5" t="s">
        <v>1167</v>
      </c>
      <c r="Q19" s="7" t="s">
        <v>1168</v>
      </c>
      <c r="R19" s="5" t="s">
        <v>1169</v>
      </c>
      <c r="S19" s="12" t="s">
        <v>751</v>
      </c>
      <c r="T19" s="12" t="s">
        <v>739</v>
      </c>
      <c r="U19" s="12" t="s">
        <v>61</v>
      </c>
      <c r="V19" s="12" t="s">
        <v>752</v>
      </c>
    </row>
    <row r="20" spans="1:22" x14ac:dyDescent="0.25">
      <c r="A20" s="5" t="s">
        <v>1211</v>
      </c>
      <c r="B20" s="5" t="s">
        <v>1212</v>
      </c>
      <c r="C20" s="8">
        <v>100</v>
      </c>
      <c r="D20" s="8">
        <v>46</v>
      </c>
      <c r="E20" s="8">
        <v>37</v>
      </c>
      <c r="F20" s="8">
        <v>32</v>
      </c>
      <c r="G20" s="6">
        <v>6.2</v>
      </c>
      <c r="H20" s="8">
        <v>1</v>
      </c>
      <c r="I20" s="7" t="s">
        <v>61</v>
      </c>
      <c r="J20" s="5" t="s">
        <v>1163</v>
      </c>
      <c r="K20" s="5" t="s">
        <v>751</v>
      </c>
      <c r="L20" s="5" t="s">
        <v>1165</v>
      </c>
      <c r="M20" s="5" t="s">
        <v>1166</v>
      </c>
      <c r="N20" s="7" t="s">
        <v>63</v>
      </c>
      <c r="O20" s="5"/>
      <c r="P20" s="5" t="s">
        <v>1167</v>
      </c>
      <c r="Q20" s="7" t="s">
        <v>1168</v>
      </c>
      <c r="R20" s="5" t="s">
        <v>1169</v>
      </c>
      <c r="S20" s="12" t="s">
        <v>751</v>
      </c>
      <c r="T20" s="12" t="s">
        <v>739</v>
      </c>
      <c r="U20" s="12" t="s">
        <v>61</v>
      </c>
      <c r="V20" s="12" t="s">
        <v>752</v>
      </c>
    </row>
    <row r="21" spans="1:22" x14ac:dyDescent="0.25">
      <c r="A21" s="5" t="s">
        <v>1213</v>
      </c>
      <c r="B21" s="5" t="s">
        <v>1214</v>
      </c>
      <c r="C21" s="8">
        <v>100</v>
      </c>
      <c r="D21" s="8">
        <v>46</v>
      </c>
      <c r="E21" s="8">
        <v>37</v>
      </c>
      <c r="F21" s="8">
        <v>32</v>
      </c>
      <c r="G21" s="6">
        <v>6.2</v>
      </c>
      <c r="H21" s="8">
        <v>1</v>
      </c>
      <c r="I21" s="7" t="s">
        <v>61</v>
      </c>
      <c r="J21" s="5" t="s">
        <v>1163</v>
      </c>
      <c r="K21" s="5" t="s">
        <v>751</v>
      </c>
      <c r="L21" s="5" t="s">
        <v>1165</v>
      </c>
      <c r="M21" s="5" t="s">
        <v>1166</v>
      </c>
      <c r="N21" s="7" t="s">
        <v>63</v>
      </c>
      <c r="O21" s="5"/>
      <c r="P21" s="5" t="s">
        <v>1167</v>
      </c>
      <c r="Q21" s="7" t="s">
        <v>1168</v>
      </c>
      <c r="R21" s="5" t="s">
        <v>1169</v>
      </c>
      <c r="S21" s="12" t="s">
        <v>751</v>
      </c>
      <c r="T21" s="12" t="s">
        <v>739</v>
      </c>
      <c r="U21" s="12" t="s">
        <v>61</v>
      </c>
      <c r="V21" s="12" t="s">
        <v>752</v>
      </c>
    </row>
    <row r="22" spans="1:22" x14ac:dyDescent="0.25">
      <c r="A22" s="5" t="s">
        <v>731</v>
      </c>
      <c r="B22" s="5" t="s">
        <v>732</v>
      </c>
      <c r="C22" s="8">
        <v>33</v>
      </c>
      <c r="D22" s="8">
        <v>48</v>
      </c>
      <c r="E22" s="8">
        <v>36</v>
      </c>
      <c r="F22" s="8">
        <v>32</v>
      </c>
      <c r="G22" s="6">
        <v>9.4</v>
      </c>
      <c r="H22" s="8">
        <v>1</v>
      </c>
      <c r="I22" s="7" t="s">
        <v>61</v>
      </c>
      <c r="J22" s="5" t="s">
        <v>1163</v>
      </c>
      <c r="K22" s="5" t="s">
        <v>733</v>
      </c>
      <c r="L22" s="5" t="s">
        <v>1165</v>
      </c>
      <c r="M22" s="5" t="s">
        <v>1166</v>
      </c>
      <c r="N22" s="7" t="s">
        <v>63</v>
      </c>
      <c r="O22" s="5"/>
      <c r="P22" s="5" t="s">
        <v>1167</v>
      </c>
      <c r="Q22" s="7" t="s">
        <v>1168</v>
      </c>
      <c r="R22" s="5" t="s">
        <v>1169</v>
      </c>
      <c r="S22" s="12" t="s">
        <v>733</v>
      </c>
      <c r="T22" s="12" t="s">
        <v>734</v>
      </c>
      <c r="U22" s="12" t="s">
        <v>61</v>
      </c>
      <c r="V22" s="12" t="s">
        <v>735</v>
      </c>
    </row>
    <row r="23" spans="1:22" x14ac:dyDescent="0.25">
      <c r="A23" s="5" t="s">
        <v>741</v>
      </c>
      <c r="B23" s="5" t="s">
        <v>742</v>
      </c>
      <c r="C23" s="8">
        <v>25</v>
      </c>
      <c r="D23" s="8">
        <v>46</v>
      </c>
      <c r="E23" s="8">
        <v>37</v>
      </c>
      <c r="F23" s="8">
        <v>32</v>
      </c>
      <c r="G23" s="6">
        <v>11.5</v>
      </c>
      <c r="H23" s="8">
        <v>1</v>
      </c>
      <c r="I23" s="7" t="s">
        <v>61</v>
      </c>
      <c r="J23" s="5" t="s">
        <v>1163</v>
      </c>
      <c r="K23" s="5" t="s">
        <v>743</v>
      </c>
      <c r="L23" s="5" t="s">
        <v>1165</v>
      </c>
      <c r="M23" s="5" t="s">
        <v>1166</v>
      </c>
      <c r="N23" s="7" t="s">
        <v>63</v>
      </c>
      <c r="O23" s="5"/>
      <c r="P23" s="5" t="s">
        <v>1167</v>
      </c>
      <c r="Q23" s="7" t="s">
        <v>1168</v>
      </c>
      <c r="R23" s="5" t="s">
        <v>1169</v>
      </c>
      <c r="S23" s="12" t="s">
        <v>743</v>
      </c>
      <c r="T23" s="12" t="s">
        <v>739</v>
      </c>
      <c r="U23" s="12" t="s">
        <v>61</v>
      </c>
      <c r="V23" s="12" t="s">
        <v>744</v>
      </c>
    </row>
    <row r="24" spans="1:22" x14ac:dyDescent="0.25">
      <c r="A24" s="5" t="s">
        <v>745</v>
      </c>
      <c r="B24" s="5" t="s">
        <v>746</v>
      </c>
      <c r="C24" s="8">
        <v>100</v>
      </c>
      <c r="D24" s="8">
        <v>46</v>
      </c>
      <c r="E24" s="8">
        <v>37</v>
      </c>
      <c r="F24" s="8">
        <v>32</v>
      </c>
      <c r="G24" s="6">
        <v>6.4</v>
      </c>
      <c r="H24" s="8">
        <v>1</v>
      </c>
      <c r="I24" s="7" t="s">
        <v>61</v>
      </c>
      <c r="J24" s="5" t="s">
        <v>1163</v>
      </c>
      <c r="K24" s="5" t="s">
        <v>747</v>
      </c>
      <c r="L24" s="5" t="s">
        <v>1165</v>
      </c>
      <c r="M24" s="5" t="s">
        <v>1166</v>
      </c>
      <c r="N24" s="7" t="s">
        <v>63</v>
      </c>
      <c r="O24" s="5"/>
      <c r="P24" s="5" t="s">
        <v>1167</v>
      </c>
      <c r="Q24" s="7" t="s">
        <v>1168</v>
      </c>
      <c r="R24" s="5" t="s">
        <v>1169</v>
      </c>
      <c r="S24" s="12" t="s">
        <v>747</v>
      </c>
      <c r="T24" s="12" t="s">
        <v>739</v>
      </c>
      <c r="U24" s="12" t="s">
        <v>61</v>
      </c>
      <c r="V24" s="12" t="s">
        <v>748</v>
      </c>
    </row>
    <row r="25" spans="1:22" x14ac:dyDescent="0.25">
      <c r="A25" s="5" t="s">
        <v>749</v>
      </c>
      <c r="B25" s="5" t="s">
        <v>750</v>
      </c>
      <c r="C25" s="8">
        <v>100</v>
      </c>
      <c r="D25" s="8">
        <v>46</v>
      </c>
      <c r="E25" s="8">
        <v>37</v>
      </c>
      <c r="F25" s="8">
        <v>32</v>
      </c>
      <c r="G25" s="6">
        <v>6.2</v>
      </c>
      <c r="H25" s="8">
        <v>1</v>
      </c>
      <c r="I25" s="7" t="s">
        <v>61</v>
      </c>
      <c r="J25" s="5" t="s">
        <v>1163</v>
      </c>
      <c r="K25" s="5" t="s">
        <v>751</v>
      </c>
      <c r="L25" s="5" t="s">
        <v>1165</v>
      </c>
      <c r="M25" s="5" t="s">
        <v>1166</v>
      </c>
      <c r="N25" s="7" t="s">
        <v>63</v>
      </c>
      <c r="O25" s="5"/>
      <c r="P25" s="5" t="s">
        <v>1167</v>
      </c>
      <c r="Q25" s="7" t="s">
        <v>1168</v>
      </c>
      <c r="R25" s="5" t="s">
        <v>1169</v>
      </c>
      <c r="S25" s="12" t="s">
        <v>751</v>
      </c>
      <c r="T25" s="12" t="s">
        <v>739</v>
      </c>
      <c r="U25" s="12" t="s">
        <v>61</v>
      </c>
      <c r="V25" s="12" t="s">
        <v>752</v>
      </c>
    </row>
    <row r="26" spans="1:22" ht="30" x14ac:dyDescent="0.25">
      <c r="A26" s="5" t="s">
        <v>726</v>
      </c>
      <c r="B26" s="5" t="s">
        <v>727</v>
      </c>
      <c r="C26" s="8">
        <v>50</v>
      </c>
      <c r="D26" s="8">
        <v>40</v>
      </c>
      <c r="E26" s="6">
        <v>38.5</v>
      </c>
      <c r="F26" s="6">
        <v>27.5</v>
      </c>
      <c r="G26" s="6">
        <v>5.35</v>
      </c>
      <c r="H26" s="8">
        <v>1</v>
      </c>
      <c r="I26" s="7" t="s">
        <v>61</v>
      </c>
      <c r="J26" s="5" t="s">
        <v>1163</v>
      </c>
      <c r="K26" s="5" t="s">
        <v>728</v>
      </c>
      <c r="L26" s="5" t="s">
        <v>1165</v>
      </c>
      <c r="M26" s="5" t="s">
        <v>1166</v>
      </c>
      <c r="N26" s="7" t="s">
        <v>63</v>
      </c>
      <c r="O26" s="5"/>
      <c r="P26" s="5" t="s">
        <v>1167</v>
      </c>
      <c r="Q26" s="7" t="s">
        <v>1168</v>
      </c>
      <c r="R26" s="5" t="s">
        <v>1169</v>
      </c>
      <c r="S26" s="12" t="s">
        <v>728</v>
      </c>
      <c r="T26" s="12" t="s">
        <v>729</v>
      </c>
      <c r="U26" s="12" t="s">
        <v>61</v>
      </c>
      <c r="V26" s="12" t="s">
        <v>730</v>
      </c>
    </row>
    <row r="27" spans="1:22" x14ac:dyDescent="0.25">
      <c r="A27" s="5" t="s">
        <v>1215</v>
      </c>
      <c r="B27" s="5" t="s">
        <v>220</v>
      </c>
      <c r="C27" s="8">
        <v>136</v>
      </c>
      <c r="D27" s="8">
        <v>59</v>
      </c>
      <c r="E27" s="8">
        <v>41</v>
      </c>
      <c r="F27" s="8">
        <v>40</v>
      </c>
      <c r="G27" s="6">
        <v>19.3</v>
      </c>
      <c r="H27" s="8">
        <v>1</v>
      </c>
      <c r="I27" s="7" t="s">
        <v>61</v>
      </c>
      <c r="J27" s="5" t="s">
        <v>1163</v>
      </c>
      <c r="K27" s="5" t="s">
        <v>1216</v>
      </c>
      <c r="L27" s="5" t="s">
        <v>1165</v>
      </c>
      <c r="M27" s="5" t="s">
        <v>1166</v>
      </c>
      <c r="N27" s="7" t="s">
        <v>63</v>
      </c>
      <c r="O27" s="5"/>
      <c r="P27" s="5" t="s">
        <v>1167</v>
      </c>
      <c r="Q27" s="7" t="s">
        <v>1168</v>
      </c>
      <c r="R27" s="5" t="s">
        <v>1169</v>
      </c>
      <c r="S27" s="12" t="s">
        <v>1216</v>
      </c>
      <c r="T27" s="12" t="s">
        <v>1049</v>
      </c>
      <c r="U27" s="12" t="s">
        <v>61</v>
      </c>
      <c r="V27" s="12" t="s">
        <v>1217</v>
      </c>
    </row>
    <row r="28" spans="1:22" x14ac:dyDescent="0.25">
      <c r="A28" s="5" t="s">
        <v>1218</v>
      </c>
      <c r="B28" s="5" t="s">
        <v>222</v>
      </c>
      <c r="C28" s="8">
        <v>120</v>
      </c>
      <c r="D28" s="8">
        <v>59</v>
      </c>
      <c r="E28" s="8">
        <v>41</v>
      </c>
      <c r="F28" s="8">
        <v>40</v>
      </c>
      <c r="G28" s="8">
        <v>14</v>
      </c>
      <c r="H28" s="8">
        <v>1</v>
      </c>
      <c r="I28" s="7" t="s">
        <v>61</v>
      </c>
      <c r="J28" s="5" t="s">
        <v>1163</v>
      </c>
      <c r="K28" s="5" t="s">
        <v>1219</v>
      </c>
      <c r="L28" s="5" t="s">
        <v>1165</v>
      </c>
      <c r="M28" s="5" t="s">
        <v>1166</v>
      </c>
      <c r="N28" s="7" t="s">
        <v>63</v>
      </c>
      <c r="O28" s="5"/>
      <c r="P28" s="5" t="s">
        <v>1167</v>
      </c>
      <c r="Q28" s="7" t="s">
        <v>1168</v>
      </c>
      <c r="R28" s="5" t="s">
        <v>1169</v>
      </c>
      <c r="S28" s="12" t="s">
        <v>1219</v>
      </c>
      <c r="T28" s="12" t="s">
        <v>1049</v>
      </c>
      <c r="U28" s="12" t="s">
        <v>61</v>
      </c>
      <c r="V28" s="12" t="s">
        <v>1220</v>
      </c>
    </row>
    <row r="29" spans="1:22" ht="30" x14ac:dyDescent="0.25">
      <c r="A29" s="5" t="s">
        <v>1221</v>
      </c>
      <c r="B29" s="5" t="s">
        <v>1222</v>
      </c>
      <c r="C29" s="8">
        <v>50</v>
      </c>
      <c r="D29" s="8">
        <v>40</v>
      </c>
      <c r="E29" s="6">
        <v>38.5</v>
      </c>
      <c r="F29" s="6">
        <v>30.5</v>
      </c>
      <c r="G29" s="6">
        <v>4.2</v>
      </c>
      <c r="H29" s="8">
        <v>1</v>
      </c>
      <c r="I29" s="7" t="s">
        <v>61</v>
      </c>
      <c r="J29" s="5" t="s">
        <v>1163</v>
      </c>
      <c r="K29" s="5" t="s">
        <v>1223</v>
      </c>
      <c r="L29" s="5" t="s">
        <v>1165</v>
      </c>
      <c r="M29" s="5" t="s">
        <v>1166</v>
      </c>
      <c r="N29" s="7" t="s">
        <v>63</v>
      </c>
      <c r="O29" s="5"/>
      <c r="P29" s="5" t="s">
        <v>1167</v>
      </c>
      <c r="Q29" s="7" t="s">
        <v>1168</v>
      </c>
      <c r="R29" s="5" t="s">
        <v>1169</v>
      </c>
      <c r="S29" s="12" t="s">
        <v>1223</v>
      </c>
      <c r="T29" s="12" t="s">
        <v>1224</v>
      </c>
      <c r="U29" s="12" t="s">
        <v>61</v>
      </c>
      <c r="V29" s="12" t="s">
        <v>1225</v>
      </c>
    </row>
    <row r="30" spans="1:22" ht="30" x14ac:dyDescent="0.25">
      <c r="A30" s="5" t="s">
        <v>1226</v>
      </c>
      <c r="B30" s="5" t="s">
        <v>1227</v>
      </c>
      <c r="C30" s="8">
        <v>50</v>
      </c>
      <c r="D30" s="8">
        <v>40</v>
      </c>
      <c r="E30" s="6">
        <v>38.5</v>
      </c>
      <c r="F30" s="6">
        <v>30.5</v>
      </c>
      <c r="G30" s="6">
        <v>4.2</v>
      </c>
      <c r="H30" s="8">
        <v>1</v>
      </c>
      <c r="I30" s="7" t="s">
        <v>61</v>
      </c>
      <c r="J30" s="5" t="s">
        <v>1163</v>
      </c>
      <c r="K30" s="5" t="s">
        <v>1223</v>
      </c>
      <c r="L30" s="5" t="s">
        <v>1165</v>
      </c>
      <c r="M30" s="5" t="s">
        <v>1166</v>
      </c>
      <c r="N30" s="7" t="s">
        <v>63</v>
      </c>
      <c r="O30" s="5"/>
      <c r="P30" s="5" t="s">
        <v>1167</v>
      </c>
      <c r="Q30" s="7" t="s">
        <v>1168</v>
      </c>
      <c r="R30" s="5" t="s">
        <v>1169</v>
      </c>
      <c r="S30" s="12" t="s">
        <v>1223</v>
      </c>
      <c r="T30" s="12" t="s">
        <v>1224</v>
      </c>
      <c r="U30" s="12" t="s">
        <v>61</v>
      </c>
      <c r="V30" s="12" t="s">
        <v>1225</v>
      </c>
    </row>
    <row r="31" spans="1:22" ht="30" x14ac:dyDescent="0.25">
      <c r="A31" s="5" t="s">
        <v>1228</v>
      </c>
      <c r="B31" s="5" t="s">
        <v>1229</v>
      </c>
      <c r="C31" s="8">
        <v>50</v>
      </c>
      <c r="D31" s="8">
        <v>40</v>
      </c>
      <c r="E31" s="6">
        <v>38.5</v>
      </c>
      <c r="F31" s="6">
        <v>30.5</v>
      </c>
      <c r="G31" s="6">
        <v>4.2</v>
      </c>
      <c r="H31" s="8">
        <v>1</v>
      </c>
      <c r="I31" s="7" t="s">
        <v>61</v>
      </c>
      <c r="J31" s="5" t="s">
        <v>1163</v>
      </c>
      <c r="K31" s="5" t="s">
        <v>1223</v>
      </c>
      <c r="L31" s="5" t="s">
        <v>1165</v>
      </c>
      <c r="M31" s="5" t="s">
        <v>1166</v>
      </c>
      <c r="N31" s="7" t="s">
        <v>63</v>
      </c>
      <c r="O31" s="5"/>
      <c r="P31" s="5" t="s">
        <v>1167</v>
      </c>
      <c r="Q31" s="7" t="s">
        <v>1168</v>
      </c>
      <c r="R31" s="5" t="s">
        <v>1169</v>
      </c>
      <c r="S31" s="12" t="s">
        <v>1223</v>
      </c>
      <c r="T31" s="12" t="s">
        <v>1224</v>
      </c>
      <c r="U31" s="12" t="s">
        <v>61</v>
      </c>
      <c r="V31" s="12" t="s">
        <v>1225</v>
      </c>
    </row>
    <row r="32" spans="1:22" ht="30" x14ac:dyDescent="0.25">
      <c r="A32" s="5" t="s">
        <v>1230</v>
      </c>
      <c r="B32" s="5" t="s">
        <v>1231</v>
      </c>
      <c r="C32" s="8">
        <v>50</v>
      </c>
      <c r="D32" s="8">
        <v>40</v>
      </c>
      <c r="E32" s="6">
        <v>38.5</v>
      </c>
      <c r="F32" s="6">
        <v>30.5</v>
      </c>
      <c r="G32" s="6">
        <v>4.2</v>
      </c>
      <c r="H32" s="8">
        <v>1</v>
      </c>
      <c r="I32" s="7" t="s">
        <v>61</v>
      </c>
      <c r="J32" s="5" t="s">
        <v>1163</v>
      </c>
      <c r="K32" s="5" t="s">
        <v>1223</v>
      </c>
      <c r="L32" s="5" t="s">
        <v>1165</v>
      </c>
      <c r="M32" s="5" t="s">
        <v>1166</v>
      </c>
      <c r="N32" s="7" t="s">
        <v>63</v>
      </c>
      <c r="O32" s="5"/>
      <c r="P32" s="5" t="s">
        <v>1167</v>
      </c>
      <c r="Q32" s="7" t="s">
        <v>1168</v>
      </c>
      <c r="R32" s="5" t="s">
        <v>1169</v>
      </c>
      <c r="S32" s="12" t="s">
        <v>1223</v>
      </c>
      <c r="T32" s="12" t="s">
        <v>1224</v>
      </c>
      <c r="U32" s="12" t="s">
        <v>61</v>
      </c>
      <c r="V32" s="12" t="s">
        <v>1225</v>
      </c>
    </row>
    <row r="33" spans="1:22" ht="30" x14ac:dyDescent="0.25">
      <c r="A33" s="5" t="s">
        <v>1118</v>
      </c>
      <c r="B33" s="5" t="s">
        <v>1119</v>
      </c>
      <c r="C33" s="8">
        <v>200</v>
      </c>
      <c r="D33" s="6">
        <v>39.5</v>
      </c>
      <c r="E33" s="6">
        <v>22.5</v>
      </c>
      <c r="F33" s="6">
        <v>39.5</v>
      </c>
      <c r="G33" s="6">
        <v>6.6</v>
      </c>
      <c r="H33" s="8">
        <v>1</v>
      </c>
      <c r="I33" s="7" t="s">
        <v>61</v>
      </c>
      <c r="J33" s="5" t="s">
        <v>1163</v>
      </c>
      <c r="K33" s="5" t="s">
        <v>1232</v>
      </c>
      <c r="L33" s="5" t="s">
        <v>1165</v>
      </c>
      <c r="M33" s="5" t="s">
        <v>1166</v>
      </c>
      <c r="N33" s="7" t="s">
        <v>63</v>
      </c>
      <c r="O33" s="5"/>
      <c r="P33" s="5" t="s">
        <v>1167</v>
      </c>
      <c r="Q33" s="7" t="s">
        <v>1168</v>
      </c>
      <c r="R33" s="5" t="s">
        <v>1169</v>
      </c>
      <c r="S33" s="12" t="s">
        <v>1232</v>
      </c>
      <c r="T33" s="12" t="s">
        <v>99</v>
      </c>
      <c r="U33" s="12" t="s">
        <v>61</v>
      </c>
      <c r="V33" s="12" t="s">
        <v>1233</v>
      </c>
    </row>
    <row r="34" spans="1:22" ht="30" x14ac:dyDescent="0.25">
      <c r="A34" s="5" t="s">
        <v>1120</v>
      </c>
      <c r="B34" s="5" t="s">
        <v>1121</v>
      </c>
      <c r="C34" s="8">
        <v>200</v>
      </c>
      <c r="D34" s="6">
        <v>39.5</v>
      </c>
      <c r="E34" s="6">
        <v>22.5</v>
      </c>
      <c r="F34" s="6">
        <v>39.5</v>
      </c>
      <c r="G34" s="6">
        <v>6.6</v>
      </c>
      <c r="H34" s="8">
        <v>1</v>
      </c>
      <c r="I34" s="7" t="s">
        <v>61</v>
      </c>
      <c r="J34" s="5" t="s">
        <v>1163</v>
      </c>
      <c r="K34" s="5" t="s">
        <v>1232</v>
      </c>
      <c r="L34" s="5" t="s">
        <v>1165</v>
      </c>
      <c r="M34" s="5" t="s">
        <v>1166</v>
      </c>
      <c r="N34" s="7" t="s">
        <v>63</v>
      </c>
      <c r="O34" s="5"/>
      <c r="P34" s="5" t="s">
        <v>1167</v>
      </c>
      <c r="Q34" s="7" t="s">
        <v>1168</v>
      </c>
      <c r="R34" s="5" t="s">
        <v>1169</v>
      </c>
      <c r="S34" s="12" t="s">
        <v>1232</v>
      </c>
      <c r="T34" s="12" t="s">
        <v>99</v>
      </c>
      <c r="U34" s="12" t="s">
        <v>61</v>
      </c>
      <c r="V34" s="12" t="s">
        <v>1233</v>
      </c>
    </row>
    <row r="35" spans="1:22" x14ac:dyDescent="0.25">
      <c r="A35" s="5" t="s">
        <v>1234</v>
      </c>
      <c r="B35" s="5" t="s">
        <v>250</v>
      </c>
      <c r="C35" s="8">
        <v>200</v>
      </c>
      <c r="D35" s="8">
        <v>59</v>
      </c>
      <c r="E35" s="8">
        <v>41</v>
      </c>
      <c r="F35" s="8">
        <v>41</v>
      </c>
      <c r="G35" s="6">
        <v>10.6</v>
      </c>
      <c r="H35" s="8">
        <v>1</v>
      </c>
      <c r="I35" s="7" t="s">
        <v>61</v>
      </c>
      <c r="J35" s="5" t="s">
        <v>1163</v>
      </c>
      <c r="K35" s="5" t="s">
        <v>1235</v>
      </c>
      <c r="L35" s="5" t="s">
        <v>1165</v>
      </c>
      <c r="M35" s="5" t="s">
        <v>1166</v>
      </c>
      <c r="N35" s="7" t="s">
        <v>63</v>
      </c>
      <c r="O35" s="5"/>
      <c r="P35" s="5" t="s">
        <v>1167</v>
      </c>
      <c r="Q35" s="7" t="s">
        <v>1168</v>
      </c>
      <c r="R35" s="5" t="s">
        <v>1169</v>
      </c>
      <c r="S35" s="12" t="s">
        <v>1235</v>
      </c>
      <c r="T35" s="12" t="s">
        <v>1236</v>
      </c>
      <c r="U35" s="12" t="s">
        <v>61</v>
      </c>
      <c r="V35" s="12" t="s">
        <v>1237</v>
      </c>
    </row>
    <row r="36" spans="1:22" x14ac:dyDescent="0.25">
      <c r="A36" s="5" t="s">
        <v>1238</v>
      </c>
      <c r="B36" s="5" t="s">
        <v>248</v>
      </c>
      <c r="C36" s="8">
        <v>200</v>
      </c>
      <c r="D36" s="8">
        <v>59</v>
      </c>
      <c r="E36" s="8">
        <v>41</v>
      </c>
      <c r="F36" s="8">
        <v>41</v>
      </c>
      <c r="G36" s="6">
        <v>10.6</v>
      </c>
      <c r="H36" s="8">
        <v>1</v>
      </c>
      <c r="I36" s="7" t="s">
        <v>61</v>
      </c>
      <c r="J36" s="5" t="s">
        <v>1163</v>
      </c>
      <c r="K36" s="5" t="s">
        <v>1235</v>
      </c>
      <c r="L36" s="5" t="s">
        <v>1165</v>
      </c>
      <c r="M36" s="5" t="s">
        <v>1166</v>
      </c>
      <c r="N36" s="7" t="s">
        <v>63</v>
      </c>
      <c r="O36" s="5"/>
      <c r="P36" s="5" t="s">
        <v>1167</v>
      </c>
      <c r="Q36" s="7" t="s">
        <v>1168</v>
      </c>
      <c r="R36" s="5" t="s">
        <v>1169</v>
      </c>
      <c r="S36" s="12" t="s">
        <v>1235</v>
      </c>
      <c r="T36" s="12" t="s">
        <v>1236</v>
      </c>
      <c r="U36" s="12" t="s">
        <v>61</v>
      </c>
      <c r="V36" s="12" t="s">
        <v>1237</v>
      </c>
    </row>
    <row r="37" spans="1:22" x14ac:dyDescent="0.25">
      <c r="A37" s="5" t="s">
        <v>1239</v>
      </c>
      <c r="B37" s="5" t="s">
        <v>252</v>
      </c>
      <c r="C37" s="8">
        <v>200</v>
      </c>
      <c r="D37" s="8">
        <v>59</v>
      </c>
      <c r="E37" s="8">
        <v>41</v>
      </c>
      <c r="F37" s="8">
        <v>41</v>
      </c>
      <c r="G37" s="6">
        <v>10.6</v>
      </c>
      <c r="H37" s="8">
        <v>1</v>
      </c>
      <c r="I37" s="7" t="s">
        <v>61</v>
      </c>
      <c r="J37" s="5" t="s">
        <v>1163</v>
      </c>
      <c r="K37" s="5" t="s">
        <v>1235</v>
      </c>
      <c r="L37" s="5" t="s">
        <v>1165</v>
      </c>
      <c r="M37" s="5" t="s">
        <v>1166</v>
      </c>
      <c r="N37" s="7" t="s">
        <v>63</v>
      </c>
      <c r="O37" s="5"/>
      <c r="P37" s="5" t="s">
        <v>1167</v>
      </c>
      <c r="Q37" s="7" t="s">
        <v>1168</v>
      </c>
      <c r="R37" s="5" t="s">
        <v>1169</v>
      </c>
      <c r="S37" s="12" t="s">
        <v>1235</v>
      </c>
      <c r="T37" s="12" t="s">
        <v>1236</v>
      </c>
      <c r="U37" s="12" t="s">
        <v>61</v>
      </c>
      <c r="V37" s="12" t="s">
        <v>1237</v>
      </c>
    </row>
    <row r="38" spans="1:22" x14ac:dyDescent="0.25">
      <c r="A38" s="5" t="s">
        <v>1240</v>
      </c>
      <c r="B38" s="5" t="s">
        <v>1241</v>
      </c>
      <c r="C38" s="8">
        <v>400</v>
      </c>
      <c r="D38" s="8">
        <v>49</v>
      </c>
      <c r="E38" s="8">
        <v>40</v>
      </c>
      <c r="F38" s="8">
        <v>31</v>
      </c>
      <c r="G38" s="6">
        <v>12.15</v>
      </c>
      <c r="H38" s="8">
        <v>1</v>
      </c>
      <c r="I38" s="7" t="s">
        <v>61</v>
      </c>
      <c r="J38" s="5" t="s">
        <v>1163</v>
      </c>
      <c r="K38" s="5" t="s">
        <v>1242</v>
      </c>
      <c r="L38" s="5" t="s">
        <v>1165</v>
      </c>
      <c r="M38" s="5" t="s">
        <v>1166</v>
      </c>
      <c r="N38" s="7" t="s">
        <v>63</v>
      </c>
      <c r="O38" s="5"/>
      <c r="P38" s="5" t="s">
        <v>1167</v>
      </c>
      <c r="Q38" s="7" t="s">
        <v>1168</v>
      </c>
      <c r="R38" s="5" t="s">
        <v>1169</v>
      </c>
      <c r="S38" s="12" t="s">
        <v>1242</v>
      </c>
      <c r="T38" s="12" t="s">
        <v>1243</v>
      </c>
      <c r="U38" s="12" t="s">
        <v>61</v>
      </c>
      <c r="V38" s="12" t="s">
        <v>1244</v>
      </c>
    </row>
    <row r="39" spans="1:22" x14ac:dyDescent="0.25">
      <c r="A39" s="5" t="s">
        <v>1245</v>
      </c>
      <c r="B39" s="5" t="s">
        <v>1246</v>
      </c>
      <c r="C39" s="8">
        <v>400</v>
      </c>
      <c r="D39" s="8">
        <v>49</v>
      </c>
      <c r="E39" s="8">
        <v>40</v>
      </c>
      <c r="F39" s="8">
        <v>31</v>
      </c>
      <c r="G39" s="6">
        <v>12.15</v>
      </c>
      <c r="H39" s="8">
        <v>1</v>
      </c>
      <c r="I39" s="7" t="s">
        <v>61</v>
      </c>
      <c r="J39" s="5" t="s">
        <v>1163</v>
      </c>
      <c r="K39" s="5" t="s">
        <v>1242</v>
      </c>
      <c r="L39" s="5" t="s">
        <v>1165</v>
      </c>
      <c r="M39" s="5" t="s">
        <v>1166</v>
      </c>
      <c r="N39" s="7" t="s">
        <v>63</v>
      </c>
      <c r="O39" s="5"/>
      <c r="P39" s="5" t="s">
        <v>1167</v>
      </c>
      <c r="Q39" s="7" t="s">
        <v>1168</v>
      </c>
      <c r="R39" s="5" t="s">
        <v>1169</v>
      </c>
      <c r="S39" s="12" t="s">
        <v>1242</v>
      </c>
      <c r="T39" s="12" t="s">
        <v>1243</v>
      </c>
      <c r="U39" s="12" t="s">
        <v>61</v>
      </c>
      <c r="V39" s="12" t="s">
        <v>1244</v>
      </c>
    </row>
    <row r="40" spans="1:22" x14ac:dyDescent="0.25">
      <c r="A40" s="5" t="s">
        <v>1247</v>
      </c>
      <c r="B40" s="5" t="s">
        <v>296</v>
      </c>
      <c r="C40" s="8">
        <v>100</v>
      </c>
      <c r="D40" s="8">
        <v>41</v>
      </c>
      <c r="E40" s="6">
        <v>32.5</v>
      </c>
      <c r="F40" s="8">
        <v>40</v>
      </c>
      <c r="G40" s="6">
        <v>5.5</v>
      </c>
      <c r="H40" s="8">
        <v>1</v>
      </c>
      <c r="I40" s="7" t="s">
        <v>61</v>
      </c>
      <c r="J40" s="5" t="s">
        <v>1163</v>
      </c>
      <c r="K40" s="5" t="s">
        <v>1248</v>
      </c>
      <c r="L40" s="5" t="s">
        <v>1165</v>
      </c>
      <c r="M40" s="5" t="s">
        <v>1166</v>
      </c>
      <c r="N40" s="7" t="s">
        <v>63</v>
      </c>
      <c r="O40" s="5"/>
      <c r="P40" s="5" t="s">
        <v>1167</v>
      </c>
      <c r="Q40" s="7" t="s">
        <v>1168</v>
      </c>
      <c r="R40" s="5" t="s">
        <v>1169</v>
      </c>
      <c r="S40" s="12" t="s">
        <v>1248</v>
      </c>
      <c r="T40" s="12" t="s">
        <v>1249</v>
      </c>
      <c r="U40" s="12" t="s">
        <v>61</v>
      </c>
      <c r="V40" s="12" t="s">
        <v>1250</v>
      </c>
    </row>
    <row r="41" spans="1:22" x14ac:dyDescent="0.25">
      <c r="A41" s="5" t="s">
        <v>1251</v>
      </c>
      <c r="B41" s="5" t="s">
        <v>294</v>
      </c>
      <c r="C41" s="8">
        <v>100</v>
      </c>
      <c r="D41" s="8">
        <v>41</v>
      </c>
      <c r="E41" s="6">
        <v>32.5</v>
      </c>
      <c r="F41" s="8">
        <v>40</v>
      </c>
      <c r="G41" s="6">
        <v>5.5</v>
      </c>
      <c r="H41" s="8">
        <v>1</v>
      </c>
      <c r="I41" s="7" t="s">
        <v>61</v>
      </c>
      <c r="J41" s="5" t="s">
        <v>1163</v>
      </c>
      <c r="K41" s="5" t="s">
        <v>1248</v>
      </c>
      <c r="L41" s="5" t="s">
        <v>1165</v>
      </c>
      <c r="M41" s="5" t="s">
        <v>1166</v>
      </c>
      <c r="N41" s="7" t="s">
        <v>63</v>
      </c>
      <c r="O41" s="5"/>
      <c r="P41" s="5" t="s">
        <v>1167</v>
      </c>
      <c r="Q41" s="7" t="s">
        <v>1168</v>
      </c>
      <c r="R41" s="5" t="s">
        <v>1169</v>
      </c>
      <c r="S41" s="12" t="s">
        <v>1248</v>
      </c>
      <c r="T41" s="12" t="s">
        <v>1249</v>
      </c>
      <c r="U41" s="12" t="s">
        <v>61</v>
      </c>
      <c r="V41" s="12" t="s">
        <v>1250</v>
      </c>
    </row>
    <row r="42" spans="1:22" x14ac:dyDescent="0.25">
      <c r="A42" s="5" t="s">
        <v>1252</v>
      </c>
      <c r="B42" s="5" t="s">
        <v>300</v>
      </c>
      <c r="C42" s="8">
        <v>40</v>
      </c>
      <c r="D42" s="8">
        <v>41</v>
      </c>
      <c r="E42" s="6">
        <v>32.5</v>
      </c>
      <c r="F42" s="8">
        <v>40</v>
      </c>
      <c r="G42" s="6">
        <v>5.5</v>
      </c>
      <c r="H42" s="8">
        <v>1</v>
      </c>
      <c r="I42" s="7" t="s">
        <v>61</v>
      </c>
      <c r="J42" s="5" t="s">
        <v>1163</v>
      </c>
      <c r="K42" s="5" t="s">
        <v>1248</v>
      </c>
      <c r="L42" s="5" t="s">
        <v>1165</v>
      </c>
      <c r="M42" s="5" t="s">
        <v>1166</v>
      </c>
      <c r="N42" s="7" t="s">
        <v>63</v>
      </c>
      <c r="O42" s="5"/>
      <c r="P42" s="5" t="s">
        <v>1167</v>
      </c>
      <c r="Q42" s="7" t="s">
        <v>1168</v>
      </c>
      <c r="R42" s="5" t="s">
        <v>1169</v>
      </c>
      <c r="S42" s="12" t="s">
        <v>1248</v>
      </c>
      <c r="T42" s="12" t="s">
        <v>1249</v>
      </c>
      <c r="U42" s="12" t="s">
        <v>61</v>
      </c>
      <c r="V42" s="12" t="s">
        <v>1253</v>
      </c>
    </row>
    <row r="43" spans="1:22" x14ac:dyDescent="0.25">
      <c r="A43" s="5" t="s">
        <v>1254</v>
      </c>
      <c r="B43" s="5" t="s">
        <v>298</v>
      </c>
      <c r="C43" s="8">
        <v>100</v>
      </c>
      <c r="D43" s="8">
        <v>41</v>
      </c>
      <c r="E43" s="6">
        <v>32.5</v>
      </c>
      <c r="F43" s="8">
        <v>40</v>
      </c>
      <c r="G43" s="6">
        <v>5.5</v>
      </c>
      <c r="H43" s="8">
        <v>1</v>
      </c>
      <c r="I43" s="7" t="s">
        <v>61</v>
      </c>
      <c r="J43" s="5" t="s">
        <v>1163</v>
      </c>
      <c r="K43" s="5" t="s">
        <v>1248</v>
      </c>
      <c r="L43" s="5" t="s">
        <v>1165</v>
      </c>
      <c r="M43" s="5" t="s">
        <v>1166</v>
      </c>
      <c r="N43" s="7" t="s">
        <v>63</v>
      </c>
      <c r="O43" s="5"/>
      <c r="P43" s="5" t="s">
        <v>1167</v>
      </c>
      <c r="Q43" s="7" t="s">
        <v>1168</v>
      </c>
      <c r="R43" s="5" t="s">
        <v>1169</v>
      </c>
      <c r="S43" s="12" t="s">
        <v>1248</v>
      </c>
      <c r="T43" s="12" t="s">
        <v>1249</v>
      </c>
      <c r="U43" s="12" t="s">
        <v>61</v>
      </c>
      <c r="V43" s="12" t="s">
        <v>1250</v>
      </c>
    </row>
    <row r="44" spans="1:22" x14ac:dyDescent="0.25">
      <c r="A44" s="5" t="s">
        <v>1255</v>
      </c>
      <c r="B44" s="5" t="s">
        <v>1256</v>
      </c>
      <c r="C44" s="8">
        <v>100</v>
      </c>
      <c r="D44" s="8">
        <v>41</v>
      </c>
      <c r="E44" s="8">
        <v>37</v>
      </c>
      <c r="F44" s="8">
        <v>17</v>
      </c>
      <c r="G44" s="6">
        <v>7.9</v>
      </c>
      <c r="H44" s="8">
        <v>1</v>
      </c>
      <c r="I44" s="7" t="s">
        <v>61</v>
      </c>
      <c r="J44" s="5" t="s">
        <v>1163</v>
      </c>
      <c r="K44" s="5" t="s">
        <v>1257</v>
      </c>
      <c r="L44" s="5" t="s">
        <v>1165</v>
      </c>
      <c r="M44" s="5" t="s">
        <v>1166</v>
      </c>
      <c r="N44" s="7" t="s">
        <v>63</v>
      </c>
      <c r="O44" s="5"/>
      <c r="P44" s="5" t="s">
        <v>1167</v>
      </c>
      <c r="Q44" s="7" t="s">
        <v>1168</v>
      </c>
      <c r="R44" s="5" t="s">
        <v>1169</v>
      </c>
      <c r="S44" s="12" t="s">
        <v>1257</v>
      </c>
      <c r="T44" s="12" t="s">
        <v>1258</v>
      </c>
      <c r="U44" s="12" t="s">
        <v>61</v>
      </c>
      <c r="V44" s="12" t="s">
        <v>1259</v>
      </c>
    </row>
    <row r="45" spans="1:22" ht="30" x14ac:dyDescent="0.25">
      <c r="A45" s="5" t="s">
        <v>777</v>
      </c>
      <c r="B45" s="5" t="s">
        <v>778</v>
      </c>
      <c r="C45" s="8">
        <v>50</v>
      </c>
      <c r="D45" s="6">
        <v>61.5</v>
      </c>
      <c r="E45" s="6">
        <v>51.5</v>
      </c>
      <c r="F45" s="8">
        <v>22</v>
      </c>
      <c r="G45" s="6">
        <v>8.6999999999999993</v>
      </c>
      <c r="H45" s="8">
        <v>1</v>
      </c>
      <c r="I45" s="7" t="s">
        <v>61</v>
      </c>
      <c r="J45" s="5" t="s">
        <v>1163</v>
      </c>
      <c r="K45" s="5" t="s">
        <v>779</v>
      </c>
      <c r="L45" s="5" t="s">
        <v>1165</v>
      </c>
      <c r="M45" s="5" t="s">
        <v>1166</v>
      </c>
      <c r="N45" s="7" t="s">
        <v>63</v>
      </c>
      <c r="O45" s="5"/>
      <c r="P45" s="5" t="s">
        <v>1167</v>
      </c>
      <c r="Q45" s="7" t="s">
        <v>1168</v>
      </c>
      <c r="R45" s="5" t="s">
        <v>1169</v>
      </c>
      <c r="S45" s="12" t="s">
        <v>779</v>
      </c>
      <c r="T45" s="12" t="s">
        <v>780</v>
      </c>
      <c r="U45" s="12" t="s">
        <v>61</v>
      </c>
      <c r="V45" s="12" t="s">
        <v>781</v>
      </c>
    </row>
    <row r="46" spans="1:22" x14ac:dyDescent="0.25">
      <c r="A46" s="5" t="s">
        <v>1260</v>
      </c>
      <c r="B46" s="5" t="s">
        <v>1261</v>
      </c>
      <c r="C46" s="8">
        <v>50</v>
      </c>
      <c r="D46" s="8">
        <v>50</v>
      </c>
      <c r="E46" s="8">
        <v>48</v>
      </c>
      <c r="F46" s="8">
        <v>31</v>
      </c>
      <c r="G46" s="6">
        <v>8.1</v>
      </c>
      <c r="H46" s="8">
        <v>1</v>
      </c>
      <c r="I46" s="7" t="s">
        <v>61</v>
      </c>
      <c r="J46" s="5" t="s">
        <v>1163</v>
      </c>
      <c r="K46" s="5" t="s">
        <v>1262</v>
      </c>
      <c r="L46" s="5" t="s">
        <v>1165</v>
      </c>
      <c r="M46" s="5" t="s">
        <v>1166</v>
      </c>
      <c r="N46" s="7" t="s">
        <v>63</v>
      </c>
      <c r="O46" s="5"/>
      <c r="P46" s="5" t="s">
        <v>1167</v>
      </c>
      <c r="Q46" s="7" t="s">
        <v>1168</v>
      </c>
      <c r="R46" s="5" t="s">
        <v>1169</v>
      </c>
      <c r="S46" s="12" t="s">
        <v>1262</v>
      </c>
      <c r="T46" s="12" t="s">
        <v>1263</v>
      </c>
      <c r="U46" s="12" t="s">
        <v>61</v>
      </c>
      <c r="V46" s="12" t="s">
        <v>1264</v>
      </c>
    </row>
    <row r="47" spans="1:22" x14ac:dyDescent="0.25">
      <c r="A47" s="5" t="s">
        <v>1265</v>
      </c>
      <c r="B47" s="5" t="s">
        <v>1266</v>
      </c>
      <c r="C47" s="8">
        <v>30</v>
      </c>
      <c r="D47" s="8">
        <v>32</v>
      </c>
      <c r="E47" s="8">
        <v>31</v>
      </c>
      <c r="F47" s="8">
        <v>20</v>
      </c>
      <c r="G47" s="6">
        <v>8.3000000000000007</v>
      </c>
      <c r="H47" s="8">
        <v>1</v>
      </c>
      <c r="I47" s="7" t="s">
        <v>61</v>
      </c>
      <c r="J47" s="5" t="s">
        <v>1163</v>
      </c>
      <c r="K47" s="5" t="s">
        <v>1267</v>
      </c>
      <c r="L47" s="5" t="s">
        <v>1165</v>
      </c>
      <c r="M47" s="5" t="s">
        <v>1166</v>
      </c>
      <c r="N47" s="7" t="s">
        <v>63</v>
      </c>
      <c r="O47" s="5"/>
      <c r="P47" s="5" t="s">
        <v>1167</v>
      </c>
      <c r="Q47" s="7" t="s">
        <v>1168</v>
      </c>
      <c r="R47" s="5" t="s">
        <v>1169</v>
      </c>
      <c r="S47" s="12" t="s">
        <v>1267</v>
      </c>
      <c r="T47" s="12" t="s">
        <v>1268</v>
      </c>
      <c r="U47" s="12" t="s">
        <v>61</v>
      </c>
      <c r="V47" s="12" t="s">
        <v>1269</v>
      </c>
    </row>
    <row r="48" spans="1:22" x14ac:dyDescent="0.25">
      <c r="A48" s="5" t="s">
        <v>1270</v>
      </c>
      <c r="B48" s="5" t="s">
        <v>1271</v>
      </c>
      <c r="C48" s="8">
        <v>30</v>
      </c>
      <c r="D48" s="8">
        <v>32</v>
      </c>
      <c r="E48" s="8">
        <v>31</v>
      </c>
      <c r="F48" s="8">
        <v>20</v>
      </c>
      <c r="G48" s="6">
        <v>8.3000000000000007</v>
      </c>
      <c r="H48" s="8">
        <v>1</v>
      </c>
      <c r="I48" s="7" t="s">
        <v>61</v>
      </c>
      <c r="J48" s="5" t="s">
        <v>1163</v>
      </c>
      <c r="K48" s="5" t="s">
        <v>1267</v>
      </c>
      <c r="L48" s="5" t="s">
        <v>1165</v>
      </c>
      <c r="M48" s="5" t="s">
        <v>1166</v>
      </c>
      <c r="N48" s="7" t="s">
        <v>63</v>
      </c>
      <c r="O48" s="5"/>
      <c r="P48" s="5" t="s">
        <v>1167</v>
      </c>
      <c r="Q48" s="7" t="s">
        <v>1168</v>
      </c>
      <c r="R48" s="5" t="s">
        <v>1169</v>
      </c>
      <c r="S48" s="12" t="s">
        <v>1267</v>
      </c>
      <c r="T48" s="12" t="s">
        <v>1268</v>
      </c>
      <c r="U48" s="12" t="s">
        <v>61</v>
      </c>
      <c r="V48" s="12" t="s">
        <v>1269</v>
      </c>
    </row>
    <row r="49" spans="1:22" x14ac:dyDescent="0.25">
      <c r="A49" s="5" t="s">
        <v>1272</v>
      </c>
      <c r="B49" s="5" t="s">
        <v>314</v>
      </c>
      <c r="C49" s="8">
        <v>40</v>
      </c>
      <c r="D49" s="6">
        <v>58.5</v>
      </c>
      <c r="E49" s="8">
        <v>35</v>
      </c>
      <c r="F49" s="8">
        <v>27</v>
      </c>
      <c r="G49" s="6">
        <v>9.8000000000000007</v>
      </c>
      <c r="H49" s="8">
        <v>1</v>
      </c>
      <c r="I49" s="7" t="s">
        <v>61</v>
      </c>
      <c r="J49" s="5" t="s">
        <v>1163</v>
      </c>
      <c r="K49" s="5" t="s">
        <v>1273</v>
      </c>
      <c r="L49" s="5" t="s">
        <v>1165</v>
      </c>
      <c r="M49" s="5" t="s">
        <v>1166</v>
      </c>
      <c r="N49" s="7" t="s">
        <v>63</v>
      </c>
      <c r="O49" s="5"/>
      <c r="P49" s="5" t="s">
        <v>1167</v>
      </c>
      <c r="Q49" s="7" t="s">
        <v>1168</v>
      </c>
      <c r="R49" s="5" t="s">
        <v>1169</v>
      </c>
      <c r="S49" s="12" t="s">
        <v>1273</v>
      </c>
      <c r="T49" s="12" t="s">
        <v>1274</v>
      </c>
      <c r="U49" s="12" t="s">
        <v>61</v>
      </c>
      <c r="V49" s="12" t="s">
        <v>1275</v>
      </c>
    </row>
    <row r="50" spans="1:22" x14ac:dyDescent="0.25">
      <c r="A50" s="5" t="s">
        <v>782</v>
      </c>
      <c r="B50" s="5" t="s">
        <v>1276</v>
      </c>
      <c r="C50" s="8">
        <v>50</v>
      </c>
      <c r="D50" s="8">
        <v>58</v>
      </c>
      <c r="E50" s="8">
        <v>48</v>
      </c>
      <c r="F50" s="8">
        <v>26</v>
      </c>
      <c r="G50" s="6">
        <v>8.4</v>
      </c>
      <c r="H50" s="8">
        <v>1</v>
      </c>
      <c r="I50" s="7" t="s">
        <v>61</v>
      </c>
      <c r="J50" s="5" t="s">
        <v>1163</v>
      </c>
      <c r="K50" s="5" t="s">
        <v>784</v>
      </c>
      <c r="L50" s="5" t="s">
        <v>1165</v>
      </c>
      <c r="M50" s="5" t="s">
        <v>1166</v>
      </c>
      <c r="N50" s="7" t="s">
        <v>63</v>
      </c>
      <c r="O50" s="5"/>
      <c r="P50" s="5" t="s">
        <v>1167</v>
      </c>
      <c r="Q50" s="7" t="s">
        <v>1168</v>
      </c>
      <c r="R50" s="5" t="s">
        <v>1169</v>
      </c>
      <c r="S50" s="12" t="s">
        <v>784</v>
      </c>
      <c r="T50" s="12" t="s">
        <v>785</v>
      </c>
      <c r="U50" s="12" t="s">
        <v>61</v>
      </c>
      <c r="V50" s="12" t="s">
        <v>786</v>
      </c>
    </row>
    <row r="51" spans="1:22" x14ac:dyDescent="0.25">
      <c r="A51" s="5" t="s">
        <v>1277</v>
      </c>
      <c r="B51" s="5" t="s">
        <v>304</v>
      </c>
      <c r="C51" s="8">
        <v>50</v>
      </c>
      <c r="D51" s="8">
        <v>50</v>
      </c>
      <c r="E51" s="8">
        <v>48</v>
      </c>
      <c r="F51" s="6">
        <v>30.5</v>
      </c>
      <c r="G51" s="6">
        <v>8.5500000000000007</v>
      </c>
      <c r="H51" s="8">
        <v>1</v>
      </c>
      <c r="I51" s="7" t="s">
        <v>61</v>
      </c>
      <c r="J51" s="5" t="s">
        <v>1163</v>
      </c>
      <c r="K51" s="5" t="s">
        <v>1278</v>
      </c>
      <c r="L51" s="5" t="s">
        <v>1165</v>
      </c>
      <c r="M51" s="5" t="s">
        <v>1166</v>
      </c>
      <c r="N51" s="7" t="s">
        <v>63</v>
      </c>
      <c r="O51" s="5"/>
      <c r="P51" s="5" t="s">
        <v>1167</v>
      </c>
      <c r="Q51" s="7" t="s">
        <v>1168</v>
      </c>
      <c r="R51" s="5" t="s">
        <v>1169</v>
      </c>
      <c r="S51" s="12" t="s">
        <v>1278</v>
      </c>
      <c r="T51" s="12" t="s">
        <v>1279</v>
      </c>
      <c r="U51" s="12" t="s">
        <v>61</v>
      </c>
      <c r="V51" s="12" t="s">
        <v>1280</v>
      </c>
    </row>
    <row r="52" spans="1:22" x14ac:dyDescent="0.25">
      <c r="A52" s="5" t="s">
        <v>1281</v>
      </c>
      <c r="B52" s="5" t="s">
        <v>1282</v>
      </c>
      <c r="C52" s="8">
        <v>120</v>
      </c>
      <c r="D52" s="8">
        <v>63</v>
      </c>
      <c r="E52" s="8">
        <v>43</v>
      </c>
      <c r="F52" s="8">
        <v>27</v>
      </c>
      <c r="G52" s="6">
        <v>6.45</v>
      </c>
      <c r="H52" s="8">
        <v>1</v>
      </c>
      <c r="I52" s="7" t="s">
        <v>61</v>
      </c>
      <c r="J52" s="5" t="s">
        <v>1163</v>
      </c>
      <c r="K52" s="5" t="s">
        <v>1283</v>
      </c>
      <c r="L52" s="5" t="s">
        <v>1165</v>
      </c>
      <c r="M52" s="5" t="s">
        <v>1166</v>
      </c>
      <c r="N52" s="7" t="s">
        <v>63</v>
      </c>
      <c r="O52" s="5"/>
      <c r="P52" s="5" t="s">
        <v>1167</v>
      </c>
      <c r="Q52" s="7" t="s">
        <v>1168</v>
      </c>
      <c r="R52" s="5" t="s">
        <v>1169</v>
      </c>
      <c r="S52" s="12" t="s">
        <v>1283</v>
      </c>
      <c r="T52" s="12" t="s">
        <v>1284</v>
      </c>
      <c r="U52" s="12" t="s">
        <v>61</v>
      </c>
      <c r="V52" s="12" t="s">
        <v>1285</v>
      </c>
    </row>
    <row r="53" spans="1:22" x14ac:dyDescent="0.25">
      <c r="A53" s="5" t="s">
        <v>1286</v>
      </c>
      <c r="B53" s="5" t="s">
        <v>1287</v>
      </c>
      <c r="C53" s="8">
        <v>82</v>
      </c>
      <c r="D53" s="8">
        <v>45</v>
      </c>
      <c r="E53" s="8">
        <v>37</v>
      </c>
      <c r="F53" s="8">
        <v>32</v>
      </c>
      <c r="G53" s="6">
        <v>6.95</v>
      </c>
      <c r="H53" s="8">
        <v>1</v>
      </c>
      <c r="I53" s="7" t="s">
        <v>61</v>
      </c>
      <c r="J53" s="5" t="s">
        <v>1163</v>
      </c>
      <c r="K53" s="5" t="s">
        <v>1288</v>
      </c>
      <c r="L53" s="5" t="s">
        <v>1165</v>
      </c>
      <c r="M53" s="5" t="s">
        <v>1166</v>
      </c>
      <c r="N53" s="7" t="s">
        <v>63</v>
      </c>
      <c r="O53" s="5"/>
      <c r="P53" s="5" t="s">
        <v>1167</v>
      </c>
      <c r="Q53" s="7" t="s">
        <v>1168</v>
      </c>
      <c r="R53" s="5" t="s">
        <v>1169</v>
      </c>
      <c r="S53" s="12" t="s">
        <v>1288</v>
      </c>
      <c r="T53" s="12" t="s">
        <v>813</v>
      </c>
      <c r="U53" s="12" t="s">
        <v>61</v>
      </c>
      <c r="V53" s="12" t="s">
        <v>1289</v>
      </c>
    </row>
    <row r="54" spans="1:22" x14ac:dyDescent="0.25">
      <c r="A54" s="5" t="s">
        <v>658</v>
      </c>
      <c r="B54" s="5" t="s">
        <v>659</v>
      </c>
      <c r="C54" s="8">
        <v>36</v>
      </c>
      <c r="D54" s="8">
        <v>55</v>
      </c>
      <c r="E54" s="8">
        <v>35</v>
      </c>
      <c r="F54" s="8">
        <v>20</v>
      </c>
      <c r="G54" s="6">
        <v>8.1999999999999993</v>
      </c>
      <c r="H54" s="8">
        <v>1</v>
      </c>
      <c r="I54" s="7" t="s">
        <v>61</v>
      </c>
      <c r="J54" s="5" t="s">
        <v>1163</v>
      </c>
      <c r="K54" s="5" t="s">
        <v>660</v>
      </c>
      <c r="L54" s="5" t="s">
        <v>1165</v>
      </c>
      <c r="M54" s="5" t="s">
        <v>1166</v>
      </c>
      <c r="N54" s="7" t="s">
        <v>63</v>
      </c>
      <c r="O54" s="5"/>
      <c r="P54" s="5" t="s">
        <v>1167</v>
      </c>
      <c r="Q54" s="7" t="s">
        <v>1168</v>
      </c>
      <c r="R54" s="5" t="s">
        <v>1169</v>
      </c>
      <c r="S54" s="12" t="s">
        <v>660</v>
      </c>
      <c r="T54" s="12" t="s">
        <v>661</v>
      </c>
      <c r="U54" s="12" t="s">
        <v>61</v>
      </c>
      <c r="V54" s="12" t="s">
        <v>662</v>
      </c>
    </row>
    <row r="55" spans="1:22" x14ac:dyDescent="0.25">
      <c r="A55" s="5" t="s">
        <v>1290</v>
      </c>
      <c r="B55" s="5" t="s">
        <v>1291</v>
      </c>
      <c r="C55" s="8">
        <v>50</v>
      </c>
      <c r="D55" s="8">
        <v>41</v>
      </c>
      <c r="E55" s="8">
        <v>34</v>
      </c>
      <c r="F55" s="8">
        <v>39</v>
      </c>
      <c r="G55" s="6">
        <v>5.25</v>
      </c>
      <c r="H55" s="8">
        <v>1</v>
      </c>
      <c r="I55" s="7" t="s">
        <v>61</v>
      </c>
      <c r="J55" s="5" t="s">
        <v>1163</v>
      </c>
      <c r="K55" s="5" t="s">
        <v>1292</v>
      </c>
      <c r="L55" s="5" t="s">
        <v>1165</v>
      </c>
      <c r="M55" s="5" t="s">
        <v>1166</v>
      </c>
      <c r="N55" s="7" t="s">
        <v>63</v>
      </c>
      <c r="O55" s="5"/>
      <c r="P55" s="5" t="s">
        <v>1167</v>
      </c>
      <c r="Q55" s="7" t="s">
        <v>1168</v>
      </c>
      <c r="R55" s="5" t="s">
        <v>1169</v>
      </c>
      <c r="S55" s="12" t="s">
        <v>1292</v>
      </c>
      <c r="T55" s="12" t="s">
        <v>1293</v>
      </c>
      <c r="U55" s="12" t="s">
        <v>61</v>
      </c>
      <c r="V55" s="12" t="s">
        <v>1294</v>
      </c>
    </row>
    <row r="56" spans="1:22" x14ac:dyDescent="0.25">
      <c r="A56" s="5" t="s">
        <v>1295</v>
      </c>
      <c r="B56" s="5" t="s">
        <v>1296</v>
      </c>
      <c r="C56" s="8">
        <v>50</v>
      </c>
      <c r="D56" s="8">
        <v>41</v>
      </c>
      <c r="E56" s="8">
        <v>34</v>
      </c>
      <c r="F56" s="8">
        <v>39</v>
      </c>
      <c r="G56" s="6">
        <v>5.25</v>
      </c>
      <c r="H56" s="8">
        <v>1</v>
      </c>
      <c r="I56" s="7" t="s">
        <v>61</v>
      </c>
      <c r="J56" s="5" t="s">
        <v>1163</v>
      </c>
      <c r="K56" s="5" t="s">
        <v>1292</v>
      </c>
      <c r="L56" s="5" t="s">
        <v>1165</v>
      </c>
      <c r="M56" s="5" t="s">
        <v>1166</v>
      </c>
      <c r="N56" s="7" t="s">
        <v>63</v>
      </c>
      <c r="O56" s="5"/>
      <c r="P56" s="5" t="s">
        <v>1167</v>
      </c>
      <c r="Q56" s="7" t="s">
        <v>1168</v>
      </c>
      <c r="R56" s="5" t="s">
        <v>1169</v>
      </c>
      <c r="S56" s="12" t="s">
        <v>1292</v>
      </c>
      <c r="T56" s="12" t="s">
        <v>1293</v>
      </c>
      <c r="U56" s="12" t="s">
        <v>61</v>
      </c>
      <c r="V56" s="12" t="s">
        <v>1294</v>
      </c>
    </row>
    <row r="57" spans="1:22" x14ac:dyDescent="0.25">
      <c r="A57" s="5" t="s">
        <v>653</v>
      </c>
      <c r="B57" s="5" t="s">
        <v>654</v>
      </c>
      <c r="C57" s="8">
        <v>100</v>
      </c>
      <c r="D57" s="8">
        <v>51</v>
      </c>
      <c r="E57" s="8">
        <v>27</v>
      </c>
      <c r="F57" s="8">
        <v>21</v>
      </c>
      <c r="G57" s="6">
        <v>13.7</v>
      </c>
      <c r="H57" s="8">
        <v>1</v>
      </c>
      <c r="I57" s="7" t="s">
        <v>61</v>
      </c>
      <c r="J57" s="5" t="s">
        <v>1163</v>
      </c>
      <c r="K57" s="5" t="s">
        <v>655</v>
      </c>
      <c r="L57" s="5" t="s">
        <v>1165</v>
      </c>
      <c r="M57" s="5" t="s">
        <v>1166</v>
      </c>
      <c r="N57" s="7" t="s">
        <v>63</v>
      </c>
      <c r="O57" s="5"/>
      <c r="P57" s="5" t="s">
        <v>1167</v>
      </c>
      <c r="Q57" s="7" t="s">
        <v>1168</v>
      </c>
      <c r="R57" s="5" t="s">
        <v>1169</v>
      </c>
      <c r="S57" s="12" t="s">
        <v>655</v>
      </c>
      <c r="T57" s="12" t="s">
        <v>656</v>
      </c>
      <c r="U57" s="12" t="s">
        <v>61</v>
      </c>
      <c r="V57" s="12" t="s">
        <v>657</v>
      </c>
    </row>
    <row r="58" spans="1:22" x14ac:dyDescent="0.25">
      <c r="A58" s="5" t="s">
        <v>1297</v>
      </c>
      <c r="B58" s="5" t="s">
        <v>1298</v>
      </c>
      <c r="C58" s="8">
        <v>57</v>
      </c>
      <c r="D58" s="8">
        <v>45</v>
      </c>
      <c r="E58" s="8">
        <v>37</v>
      </c>
      <c r="F58" s="8">
        <v>32</v>
      </c>
      <c r="G58" s="6">
        <v>6.1</v>
      </c>
      <c r="H58" s="8">
        <v>1</v>
      </c>
      <c r="I58" s="7" t="s">
        <v>61</v>
      </c>
      <c r="J58" s="5" t="s">
        <v>1163</v>
      </c>
      <c r="K58" s="5" t="s">
        <v>1299</v>
      </c>
      <c r="L58" s="5" t="s">
        <v>1165</v>
      </c>
      <c r="M58" s="5" t="s">
        <v>1166</v>
      </c>
      <c r="N58" s="7" t="s">
        <v>63</v>
      </c>
      <c r="O58" s="5"/>
      <c r="P58" s="5" t="s">
        <v>1167</v>
      </c>
      <c r="Q58" s="7" t="s">
        <v>1168</v>
      </c>
      <c r="R58" s="5" t="s">
        <v>1169</v>
      </c>
      <c r="S58" s="12" t="s">
        <v>1299</v>
      </c>
      <c r="T58" s="12" t="s">
        <v>813</v>
      </c>
      <c r="U58" s="12" t="s">
        <v>61</v>
      </c>
      <c r="V58" s="12" t="s">
        <v>1300</v>
      </c>
    </row>
    <row r="59" spans="1:22" x14ac:dyDescent="0.25">
      <c r="A59" s="5" t="s">
        <v>1301</v>
      </c>
      <c r="B59" s="5" t="s">
        <v>1302</v>
      </c>
      <c r="C59" s="8">
        <v>100</v>
      </c>
      <c r="D59" s="8">
        <v>45</v>
      </c>
      <c r="E59" s="8">
        <v>37</v>
      </c>
      <c r="F59" s="8">
        <v>32</v>
      </c>
      <c r="G59" s="6">
        <v>6.3</v>
      </c>
      <c r="H59" s="8">
        <v>1</v>
      </c>
      <c r="I59" s="7" t="s">
        <v>61</v>
      </c>
      <c r="J59" s="5" t="s">
        <v>1163</v>
      </c>
      <c r="K59" s="5" t="s">
        <v>842</v>
      </c>
      <c r="L59" s="5" t="s">
        <v>1165</v>
      </c>
      <c r="M59" s="5" t="s">
        <v>1166</v>
      </c>
      <c r="N59" s="7" t="s">
        <v>63</v>
      </c>
      <c r="O59" s="5"/>
      <c r="P59" s="5" t="s">
        <v>1167</v>
      </c>
      <c r="Q59" s="7" t="s">
        <v>1168</v>
      </c>
      <c r="R59" s="5" t="s">
        <v>1169</v>
      </c>
      <c r="S59" s="12" t="s">
        <v>842</v>
      </c>
      <c r="T59" s="12" t="s">
        <v>813</v>
      </c>
      <c r="U59" s="12" t="s">
        <v>61</v>
      </c>
      <c r="V59" s="12" t="s">
        <v>843</v>
      </c>
    </row>
    <row r="60" spans="1:22" ht="30" x14ac:dyDescent="0.25">
      <c r="A60" s="5" t="s">
        <v>797</v>
      </c>
      <c r="B60" s="5" t="s">
        <v>798</v>
      </c>
      <c r="C60" s="8">
        <v>100</v>
      </c>
      <c r="D60" s="6">
        <v>39.5</v>
      </c>
      <c r="E60" s="6">
        <v>36.5</v>
      </c>
      <c r="F60" s="6">
        <v>24.5</v>
      </c>
      <c r="G60" s="6">
        <v>4.5</v>
      </c>
      <c r="H60" s="8">
        <v>1</v>
      </c>
      <c r="I60" s="7" t="s">
        <v>61</v>
      </c>
      <c r="J60" s="5" t="s">
        <v>1163</v>
      </c>
      <c r="K60" s="5" t="s">
        <v>799</v>
      </c>
      <c r="L60" s="5" t="s">
        <v>1165</v>
      </c>
      <c r="M60" s="5" t="s">
        <v>1166</v>
      </c>
      <c r="N60" s="7" t="s">
        <v>63</v>
      </c>
      <c r="O60" s="5"/>
      <c r="P60" s="5" t="s">
        <v>1167</v>
      </c>
      <c r="Q60" s="7" t="s">
        <v>1168</v>
      </c>
      <c r="R60" s="5" t="s">
        <v>1169</v>
      </c>
      <c r="S60" s="12" t="s">
        <v>799</v>
      </c>
      <c r="T60" s="12" t="s">
        <v>800</v>
      </c>
      <c r="U60" s="12" t="s">
        <v>61</v>
      </c>
      <c r="V60" s="12" t="s">
        <v>801</v>
      </c>
    </row>
    <row r="61" spans="1:22" ht="30" x14ac:dyDescent="0.25">
      <c r="A61" s="5" t="s">
        <v>802</v>
      </c>
      <c r="B61" s="5" t="s">
        <v>803</v>
      </c>
      <c r="C61" s="8">
        <v>100</v>
      </c>
      <c r="D61" s="6">
        <v>39.5</v>
      </c>
      <c r="E61" s="6">
        <v>36.5</v>
      </c>
      <c r="F61" s="6">
        <v>24.5</v>
      </c>
      <c r="G61" s="6">
        <v>4.5</v>
      </c>
      <c r="H61" s="8">
        <v>1</v>
      </c>
      <c r="I61" s="7" t="s">
        <v>61</v>
      </c>
      <c r="J61" s="5" t="s">
        <v>1163</v>
      </c>
      <c r="K61" s="5" t="s">
        <v>799</v>
      </c>
      <c r="L61" s="5" t="s">
        <v>1165</v>
      </c>
      <c r="M61" s="5" t="s">
        <v>1166</v>
      </c>
      <c r="N61" s="7" t="s">
        <v>63</v>
      </c>
      <c r="O61" s="5"/>
      <c r="P61" s="5" t="s">
        <v>1167</v>
      </c>
      <c r="Q61" s="7" t="s">
        <v>1168</v>
      </c>
      <c r="R61" s="5" t="s">
        <v>1169</v>
      </c>
      <c r="S61" s="12" t="s">
        <v>799</v>
      </c>
      <c r="T61" s="12" t="s">
        <v>800</v>
      </c>
      <c r="U61" s="12" t="s">
        <v>61</v>
      </c>
      <c r="V61" s="12" t="s">
        <v>801</v>
      </c>
    </row>
    <row r="62" spans="1:22" x14ac:dyDescent="0.25">
      <c r="A62" s="5" t="s">
        <v>804</v>
      </c>
      <c r="B62" s="5" t="s">
        <v>805</v>
      </c>
      <c r="C62" s="8">
        <v>24</v>
      </c>
      <c r="D62" s="8">
        <v>46</v>
      </c>
      <c r="E62" s="8">
        <v>37</v>
      </c>
      <c r="F62" s="8">
        <v>32</v>
      </c>
      <c r="G62" s="6">
        <v>11.2</v>
      </c>
      <c r="H62" s="8">
        <v>1</v>
      </c>
      <c r="I62" s="7" t="s">
        <v>61</v>
      </c>
      <c r="J62" s="5" t="s">
        <v>1163</v>
      </c>
      <c r="K62" s="5" t="s">
        <v>806</v>
      </c>
      <c r="L62" s="5" t="s">
        <v>1165</v>
      </c>
      <c r="M62" s="5" t="s">
        <v>1166</v>
      </c>
      <c r="N62" s="7" t="s">
        <v>63</v>
      </c>
      <c r="O62" s="5"/>
      <c r="P62" s="5" t="s">
        <v>1167</v>
      </c>
      <c r="Q62" s="7" t="s">
        <v>1168</v>
      </c>
      <c r="R62" s="5" t="s">
        <v>1169</v>
      </c>
      <c r="S62" s="12" t="s">
        <v>806</v>
      </c>
      <c r="T62" s="12" t="s">
        <v>739</v>
      </c>
      <c r="U62" s="12" t="s">
        <v>61</v>
      </c>
      <c r="V62" s="12" t="s">
        <v>807</v>
      </c>
    </row>
    <row r="63" spans="1:22" x14ac:dyDescent="0.25">
      <c r="A63" s="5" t="s">
        <v>1303</v>
      </c>
      <c r="B63" s="5" t="s">
        <v>1304</v>
      </c>
      <c r="C63" s="8">
        <v>57</v>
      </c>
      <c r="D63" s="8">
        <v>46</v>
      </c>
      <c r="E63" s="8">
        <v>37</v>
      </c>
      <c r="F63" s="8">
        <v>32</v>
      </c>
      <c r="G63" s="6">
        <v>6.1</v>
      </c>
      <c r="H63" s="8">
        <v>1</v>
      </c>
      <c r="I63" s="7" t="s">
        <v>61</v>
      </c>
      <c r="J63" s="5" t="s">
        <v>1163</v>
      </c>
      <c r="K63" s="5" t="s">
        <v>1305</v>
      </c>
      <c r="L63" s="5" t="s">
        <v>1165</v>
      </c>
      <c r="M63" s="5" t="s">
        <v>1166</v>
      </c>
      <c r="N63" s="7" t="s">
        <v>63</v>
      </c>
      <c r="O63" s="5"/>
      <c r="P63" s="5" t="s">
        <v>1167</v>
      </c>
      <c r="Q63" s="7" t="s">
        <v>1168</v>
      </c>
      <c r="R63" s="5" t="s">
        <v>1169</v>
      </c>
      <c r="S63" s="12" t="s">
        <v>1305</v>
      </c>
      <c r="T63" s="12" t="s">
        <v>739</v>
      </c>
      <c r="U63" s="12" t="s">
        <v>61</v>
      </c>
      <c r="V63" s="12" t="s">
        <v>1306</v>
      </c>
    </row>
    <row r="64" spans="1:22" x14ac:dyDescent="0.25">
      <c r="A64" s="5" t="s">
        <v>1307</v>
      </c>
      <c r="B64" s="5" t="s">
        <v>1308</v>
      </c>
      <c r="C64" s="8">
        <v>100</v>
      </c>
      <c r="D64" s="8">
        <v>45</v>
      </c>
      <c r="E64" s="8">
        <v>37</v>
      </c>
      <c r="F64" s="8">
        <v>32</v>
      </c>
      <c r="G64" s="6">
        <v>6.3</v>
      </c>
      <c r="H64" s="8">
        <v>1</v>
      </c>
      <c r="I64" s="7" t="s">
        <v>61</v>
      </c>
      <c r="J64" s="5" t="s">
        <v>1163</v>
      </c>
      <c r="K64" s="5" t="s">
        <v>842</v>
      </c>
      <c r="L64" s="5" t="s">
        <v>1165</v>
      </c>
      <c r="M64" s="5" t="s">
        <v>1166</v>
      </c>
      <c r="N64" s="7" t="s">
        <v>63</v>
      </c>
      <c r="O64" s="5"/>
      <c r="P64" s="5" t="s">
        <v>1167</v>
      </c>
      <c r="Q64" s="7" t="s">
        <v>1168</v>
      </c>
      <c r="R64" s="5" t="s">
        <v>1169</v>
      </c>
      <c r="S64" s="12" t="s">
        <v>842</v>
      </c>
      <c r="T64" s="12" t="s">
        <v>813</v>
      </c>
      <c r="U64" s="12" t="s">
        <v>61</v>
      </c>
      <c r="V64" s="12" t="s">
        <v>843</v>
      </c>
    </row>
    <row r="65" spans="1:22" x14ac:dyDescent="0.25">
      <c r="A65" s="5" t="s">
        <v>810</v>
      </c>
      <c r="B65" s="5" t="s">
        <v>811</v>
      </c>
      <c r="C65" s="8">
        <v>100</v>
      </c>
      <c r="D65" s="8">
        <v>45</v>
      </c>
      <c r="E65" s="8">
        <v>37</v>
      </c>
      <c r="F65" s="8">
        <v>32</v>
      </c>
      <c r="G65" s="6">
        <v>5.9</v>
      </c>
      <c r="H65" s="8">
        <v>1</v>
      </c>
      <c r="I65" s="7" t="s">
        <v>61</v>
      </c>
      <c r="J65" s="5" t="s">
        <v>1163</v>
      </c>
      <c r="K65" s="5" t="s">
        <v>812</v>
      </c>
      <c r="L65" s="5" t="s">
        <v>1165</v>
      </c>
      <c r="M65" s="5" t="s">
        <v>1166</v>
      </c>
      <c r="N65" s="7" t="s">
        <v>63</v>
      </c>
      <c r="O65" s="5"/>
      <c r="P65" s="5" t="s">
        <v>1167</v>
      </c>
      <c r="Q65" s="7" t="s">
        <v>1168</v>
      </c>
      <c r="R65" s="5" t="s">
        <v>1169</v>
      </c>
      <c r="S65" s="12" t="s">
        <v>812</v>
      </c>
      <c r="T65" s="12" t="s">
        <v>813</v>
      </c>
      <c r="U65" s="12" t="s">
        <v>61</v>
      </c>
      <c r="V65" s="12" t="s">
        <v>814</v>
      </c>
    </row>
    <row r="66" spans="1:22" ht="30" x14ac:dyDescent="0.25">
      <c r="A66" s="5" t="s">
        <v>815</v>
      </c>
      <c r="B66" s="5" t="s">
        <v>816</v>
      </c>
      <c r="C66" s="8">
        <v>50</v>
      </c>
      <c r="D66" s="8">
        <v>40</v>
      </c>
      <c r="E66" s="6">
        <v>38.5</v>
      </c>
      <c r="F66" s="6">
        <v>27.5</v>
      </c>
      <c r="G66" s="6">
        <v>5.45</v>
      </c>
      <c r="H66" s="8">
        <v>1</v>
      </c>
      <c r="I66" s="7" t="s">
        <v>61</v>
      </c>
      <c r="J66" s="5" t="s">
        <v>1163</v>
      </c>
      <c r="K66" s="5" t="s">
        <v>817</v>
      </c>
      <c r="L66" s="5" t="s">
        <v>1165</v>
      </c>
      <c r="M66" s="5" t="s">
        <v>1166</v>
      </c>
      <c r="N66" s="7" t="s">
        <v>63</v>
      </c>
      <c r="O66" s="5"/>
      <c r="P66" s="5" t="s">
        <v>1167</v>
      </c>
      <c r="Q66" s="7" t="s">
        <v>1168</v>
      </c>
      <c r="R66" s="5" t="s">
        <v>1169</v>
      </c>
      <c r="S66" s="12" t="s">
        <v>817</v>
      </c>
      <c r="T66" s="12" t="s">
        <v>729</v>
      </c>
      <c r="U66" s="12" t="s">
        <v>61</v>
      </c>
      <c r="V66" s="12" t="s">
        <v>818</v>
      </c>
    </row>
    <row r="67" spans="1:22" x14ac:dyDescent="0.25">
      <c r="A67" s="5" t="s">
        <v>819</v>
      </c>
      <c r="B67" s="5" t="s">
        <v>820</v>
      </c>
      <c r="C67" s="8">
        <v>50</v>
      </c>
      <c r="D67" s="8">
        <v>57</v>
      </c>
      <c r="E67" s="8">
        <v>28</v>
      </c>
      <c r="F67" s="6">
        <v>15.5</v>
      </c>
      <c r="G67" s="6">
        <v>8.5</v>
      </c>
      <c r="H67" s="8">
        <v>1</v>
      </c>
      <c r="I67" s="7" t="s">
        <v>61</v>
      </c>
      <c r="J67" s="5" t="s">
        <v>1163</v>
      </c>
      <c r="K67" s="5" t="s">
        <v>821</v>
      </c>
      <c r="L67" s="5" t="s">
        <v>1165</v>
      </c>
      <c r="M67" s="5" t="s">
        <v>1166</v>
      </c>
      <c r="N67" s="7" t="s">
        <v>63</v>
      </c>
      <c r="O67" s="5"/>
      <c r="P67" s="5" t="s">
        <v>1167</v>
      </c>
      <c r="Q67" s="7" t="s">
        <v>1168</v>
      </c>
      <c r="R67" s="5" t="s">
        <v>1169</v>
      </c>
      <c r="S67" s="12" t="s">
        <v>821</v>
      </c>
      <c r="T67" s="12" t="s">
        <v>822</v>
      </c>
      <c r="U67" s="12" t="s">
        <v>61</v>
      </c>
      <c r="V67" s="12" t="s">
        <v>823</v>
      </c>
    </row>
    <row r="68" spans="1:22" x14ac:dyDescent="0.25">
      <c r="A68" s="5" t="s">
        <v>824</v>
      </c>
      <c r="B68" s="5" t="s">
        <v>825</v>
      </c>
      <c r="C68" s="8">
        <v>50</v>
      </c>
      <c r="D68" s="8">
        <v>57</v>
      </c>
      <c r="E68" s="8">
        <v>28</v>
      </c>
      <c r="F68" s="6">
        <v>15.5</v>
      </c>
      <c r="G68" s="6">
        <v>8.5</v>
      </c>
      <c r="H68" s="8">
        <v>1</v>
      </c>
      <c r="I68" s="7" t="s">
        <v>61</v>
      </c>
      <c r="J68" s="5" t="s">
        <v>1163</v>
      </c>
      <c r="K68" s="5" t="s">
        <v>821</v>
      </c>
      <c r="L68" s="5" t="s">
        <v>1165</v>
      </c>
      <c r="M68" s="5" t="s">
        <v>1166</v>
      </c>
      <c r="N68" s="7" t="s">
        <v>63</v>
      </c>
      <c r="O68" s="5"/>
      <c r="P68" s="5" t="s">
        <v>1167</v>
      </c>
      <c r="Q68" s="7" t="s">
        <v>1168</v>
      </c>
      <c r="R68" s="5" t="s">
        <v>1169</v>
      </c>
      <c r="S68" s="12" t="s">
        <v>821</v>
      </c>
      <c r="T68" s="12" t="s">
        <v>822</v>
      </c>
      <c r="U68" s="12" t="s">
        <v>61</v>
      </c>
      <c r="V68" s="12" t="s">
        <v>823</v>
      </c>
    </row>
    <row r="69" spans="1:22" x14ac:dyDescent="0.25">
      <c r="A69" s="5" t="s">
        <v>665</v>
      </c>
      <c r="B69" s="5" t="s">
        <v>666</v>
      </c>
      <c r="C69" s="8">
        <v>60</v>
      </c>
      <c r="D69" s="8">
        <v>53</v>
      </c>
      <c r="E69" s="8">
        <v>34</v>
      </c>
      <c r="F69" s="8">
        <v>21</v>
      </c>
      <c r="G69" s="6">
        <v>3.8</v>
      </c>
      <c r="H69" s="8">
        <v>1</v>
      </c>
      <c r="I69" s="7" t="s">
        <v>61</v>
      </c>
      <c r="J69" s="5" t="s">
        <v>1163</v>
      </c>
      <c r="K69" s="5" t="s">
        <v>667</v>
      </c>
      <c r="L69" s="5" t="s">
        <v>1165</v>
      </c>
      <c r="M69" s="5" t="s">
        <v>1166</v>
      </c>
      <c r="N69" s="7" t="s">
        <v>63</v>
      </c>
      <c r="O69" s="5"/>
      <c r="P69" s="5" t="s">
        <v>1167</v>
      </c>
      <c r="Q69" s="7" t="s">
        <v>1168</v>
      </c>
      <c r="R69" s="5" t="s">
        <v>1169</v>
      </c>
      <c r="S69" s="12" t="s">
        <v>667</v>
      </c>
      <c r="T69" s="12" t="s">
        <v>668</v>
      </c>
      <c r="U69" s="12" t="s">
        <v>61</v>
      </c>
      <c r="V69" s="12" t="s">
        <v>669</v>
      </c>
    </row>
    <row r="70" spans="1:22" x14ac:dyDescent="0.25">
      <c r="A70" s="5" t="s">
        <v>1309</v>
      </c>
      <c r="B70" s="5" t="s">
        <v>1310</v>
      </c>
      <c r="C70" s="8">
        <v>57</v>
      </c>
      <c r="D70" s="8">
        <v>46</v>
      </c>
      <c r="E70" s="8">
        <v>37</v>
      </c>
      <c r="F70" s="8">
        <v>32</v>
      </c>
      <c r="G70" s="6">
        <v>6.1</v>
      </c>
      <c r="H70" s="8">
        <v>1</v>
      </c>
      <c r="I70" s="7" t="s">
        <v>61</v>
      </c>
      <c r="J70" s="5" t="s">
        <v>1163</v>
      </c>
      <c r="K70" s="5" t="s">
        <v>1305</v>
      </c>
      <c r="L70" s="5" t="s">
        <v>1165</v>
      </c>
      <c r="M70" s="5" t="s">
        <v>1166</v>
      </c>
      <c r="N70" s="7" t="s">
        <v>63</v>
      </c>
      <c r="O70" s="5"/>
      <c r="P70" s="5" t="s">
        <v>1167</v>
      </c>
      <c r="Q70" s="7" t="s">
        <v>1168</v>
      </c>
      <c r="R70" s="5" t="s">
        <v>1169</v>
      </c>
      <c r="S70" s="12" t="s">
        <v>1305</v>
      </c>
      <c r="T70" s="12" t="s">
        <v>739</v>
      </c>
      <c r="U70" s="12" t="s">
        <v>61</v>
      </c>
      <c r="V70" s="12" t="s">
        <v>1306</v>
      </c>
    </row>
    <row r="71" spans="1:22" x14ac:dyDescent="0.25">
      <c r="A71" s="5" t="s">
        <v>1311</v>
      </c>
      <c r="B71" s="5" t="s">
        <v>1312</v>
      </c>
      <c r="C71" s="8">
        <v>100</v>
      </c>
      <c r="D71" s="8">
        <v>45</v>
      </c>
      <c r="E71" s="8">
        <v>37</v>
      </c>
      <c r="F71" s="8">
        <v>32</v>
      </c>
      <c r="G71" s="6">
        <v>6.3</v>
      </c>
      <c r="H71" s="8">
        <v>1</v>
      </c>
      <c r="I71" s="7" t="s">
        <v>61</v>
      </c>
      <c r="J71" s="5" t="s">
        <v>1163</v>
      </c>
      <c r="K71" s="5" t="s">
        <v>842</v>
      </c>
      <c r="L71" s="5" t="s">
        <v>1165</v>
      </c>
      <c r="M71" s="5" t="s">
        <v>1166</v>
      </c>
      <c r="N71" s="7" t="s">
        <v>63</v>
      </c>
      <c r="O71" s="5"/>
      <c r="P71" s="5" t="s">
        <v>1167</v>
      </c>
      <c r="Q71" s="7" t="s">
        <v>1168</v>
      </c>
      <c r="R71" s="5" t="s">
        <v>1169</v>
      </c>
      <c r="S71" s="12" t="s">
        <v>842</v>
      </c>
      <c r="T71" s="12" t="s">
        <v>813</v>
      </c>
      <c r="U71" s="12" t="s">
        <v>61</v>
      </c>
      <c r="V71" s="12" t="s">
        <v>843</v>
      </c>
    </row>
    <row r="72" spans="1:22" x14ac:dyDescent="0.25">
      <c r="A72" s="5" t="s">
        <v>1313</v>
      </c>
      <c r="B72" s="5" t="s">
        <v>1314</v>
      </c>
      <c r="C72" s="8">
        <v>57</v>
      </c>
      <c r="D72" s="8">
        <v>46</v>
      </c>
      <c r="E72" s="8">
        <v>37</v>
      </c>
      <c r="F72" s="8">
        <v>32</v>
      </c>
      <c r="G72" s="6">
        <v>6.1</v>
      </c>
      <c r="H72" s="8">
        <v>1</v>
      </c>
      <c r="I72" s="7" t="s">
        <v>61</v>
      </c>
      <c r="J72" s="5" t="s">
        <v>1163</v>
      </c>
      <c r="K72" s="5" t="s">
        <v>1305</v>
      </c>
      <c r="L72" s="5" t="s">
        <v>1165</v>
      </c>
      <c r="M72" s="5" t="s">
        <v>1166</v>
      </c>
      <c r="N72" s="7" t="s">
        <v>63</v>
      </c>
      <c r="O72" s="5"/>
      <c r="P72" s="5" t="s">
        <v>1167</v>
      </c>
      <c r="Q72" s="7" t="s">
        <v>1168</v>
      </c>
      <c r="R72" s="5" t="s">
        <v>1169</v>
      </c>
      <c r="S72" s="12" t="s">
        <v>1305</v>
      </c>
      <c r="T72" s="12" t="s">
        <v>739</v>
      </c>
      <c r="U72" s="12" t="s">
        <v>61</v>
      </c>
      <c r="V72" s="12" t="s">
        <v>1306</v>
      </c>
    </row>
    <row r="73" spans="1:22" x14ac:dyDescent="0.25">
      <c r="A73" s="5" t="s">
        <v>1315</v>
      </c>
      <c r="B73" s="5" t="s">
        <v>1316</v>
      </c>
      <c r="C73" s="8">
        <v>100</v>
      </c>
      <c r="D73" s="8">
        <v>45</v>
      </c>
      <c r="E73" s="8">
        <v>37</v>
      </c>
      <c r="F73" s="8">
        <v>32</v>
      </c>
      <c r="G73" s="6">
        <v>6.3</v>
      </c>
      <c r="H73" s="8">
        <v>1</v>
      </c>
      <c r="I73" s="7" t="s">
        <v>61</v>
      </c>
      <c r="J73" s="5" t="s">
        <v>1163</v>
      </c>
      <c r="K73" s="5" t="s">
        <v>842</v>
      </c>
      <c r="L73" s="5" t="s">
        <v>1165</v>
      </c>
      <c r="M73" s="5" t="s">
        <v>1166</v>
      </c>
      <c r="N73" s="7" t="s">
        <v>63</v>
      </c>
      <c r="O73" s="5"/>
      <c r="P73" s="5" t="s">
        <v>1167</v>
      </c>
      <c r="Q73" s="7" t="s">
        <v>1168</v>
      </c>
      <c r="R73" s="5" t="s">
        <v>1169</v>
      </c>
      <c r="S73" s="12" t="s">
        <v>842</v>
      </c>
      <c r="T73" s="12" t="s">
        <v>813</v>
      </c>
      <c r="U73" s="12" t="s">
        <v>61</v>
      </c>
      <c r="V73" s="12" t="s">
        <v>843</v>
      </c>
    </row>
    <row r="74" spans="1:22" x14ac:dyDescent="0.25">
      <c r="A74" s="5" t="s">
        <v>826</v>
      </c>
      <c r="B74" s="5" t="s">
        <v>827</v>
      </c>
      <c r="C74" s="8">
        <v>99</v>
      </c>
      <c r="D74" s="8">
        <v>48</v>
      </c>
      <c r="E74" s="8">
        <v>39</v>
      </c>
      <c r="F74" s="8">
        <v>34</v>
      </c>
      <c r="G74" s="6">
        <v>22.15</v>
      </c>
      <c r="H74" s="8">
        <v>1</v>
      </c>
      <c r="I74" s="7" t="s">
        <v>61</v>
      </c>
      <c r="J74" s="5" t="s">
        <v>1163</v>
      </c>
      <c r="K74" s="5" t="s">
        <v>828</v>
      </c>
      <c r="L74" s="5" t="s">
        <v>1165</v>
      </c>
      <c r="M74" s="5" t="s">
        <v>1166</v>
      </c>
      <c r="N74" s="7" t="s">
        <v>63</v>
      </c>
      <c r="O74" s="5"/>
      <c r="P74" s="5" t="s">
        <v>1167</v>
      </c>
      <c r="Q74" s="7" t="s">
        <v>1168</v>
      </c>
      <c r="R74" s="5" t="s">
        <v>1169</v>
      </c>
      <c r="S74" s="12" t="s">
        <v>828</v>
      </c>
      <c r="T74" s="12" t="s">
        <v>829</v>
      </c>
      <c r="U74" s="12" t="s">
        <v>61</v>
      </c>
      <c r="V74" s="12" t="s">
        <v>830</v>
      </c>
    </row>
    <row r="75" spans="1:22" x14ac:dyDescent="0.25">
      <c r="A75" s="5" t="s">
        <v>831</v>
      </c>
      <c r="B75" s="5" t="s">
        <v>832</v>
      </c>
      <c r="C75" s="8">
        <v>20</v>
      </c>
      <c r="D75" s="8">
        <v>55</v>
      </c>
      <c r="E75" s="8">
        <v>48</v>
      </c>
      <c r="F75" s="6">
        <v>15.5</v>
      </c>
      <c r="G75" s="6">
        <v>14.7</v>
      </c>
      <c r="H75" s="8">
        <v>1</v>
      </c>
      <c r="I75" s="7" t="s">
        <v>61</v>
      </c>
      <c r="J75" s="5" t="s">
        <v>1163</v>
      </c>
      <c r="K75" s="5" t="s">
        <v>697</v>
      </c>
      <c r="L75" s="5" t="s">
        <v>1165</v>
      </c>
      <c r="M75" s="5" t="s">
        <v>1166</v>
      </c>
      <c r="N75" s="7" t="s">
        <v>63</v>
      </c>
      <c r="O75" s="5"/>
      <c r="P75" s="5" t="s">
        <v>1167</v>
      </c>
      <c r="Q75" s="7" t="s">
        <v>1168</v>
      </c>
      <c r="R75" s="5" t="s">
        <v>1169</v>
      </c>
      <c r="S75" s="12" t="s">
        <v>697</v>
      </c>
      <c r="T75" s="12" t="s">
        <v>698</v>
      </c>
      <c r="U75" s="12" t="s">
        <v>61</v>
      </c>
      <c r="V75" s="12" t="s">
        <v>699</v>
      </c>
    </row>
    <row r="76" spans="1:22" x14ac:dyDescent="0.25">
      <c r="A76" s="5" t="s">
        <v>833</v>
      </c>
      <c r="B76" s="5" t="s">
        <v>834</v>
      </c>
      <c r="C76" s="8">
        <v>180</v>
      </c>
      <c r="D76" s="8">
        <v>55</v>
      </c>
      <c r="E76" s="8">
        <v>27</v>
      </c>
      <c r="F76" s="8">
        <v>30</v>
      </c>
      <c r="G76" s="8">
        <v>10</v>
      </c>
      <c r="H76" s="8">
        <v>1</v>
      </c>
      <c r="I76" s="7" t="s">
        <v>61</v>
      </c>
      <c r="J76" s="5" t="s">
        <v>1163</v>
      </c>
      <c r="K76" s="5" t="s">
        <v>835</v>
      </c>
      <c r="L76" s="5" t="s">
        <v>1165</v>
      </c>
      <c r="M76" s="5" t="s">
        <v>1166</v>
      </c>
      <c r="N76" s="7" t="s">
        <v>63</v>
      </c>
      <c r="O76" s="5"/>
      <c r="P76" s="5" t="s">
        <v>1167</v>
      </c>
      <c r="Q76" s="7" t="s">
        <v>1168</v>
      </c>
      <c r="R76" s="5" t="s">
        <v>1169</v>
      </c>
      <c r="S76" s="12" t="s">
        <v>835</v>
      </c>
      <c r="T76" s="12" t="s">
        <v>836</v>
      </c>
      <c r="U76" s="12" t="s">
        <v>61</v>
      </c>
      <c r="V76" s="12" t="s">
        <v>837</v>
      </c>
    </row>
    <row r="77" spans="1:22" x14ac:dyDescent="0.25">
      <c r="A77" s="5" t="s">
        <v>838</v>
      </c>
      <c r="B77" s="5" t="s">
        <v>839</v>
      </c>
      <c r="C77" s="8">
        <v>20</v>
      </c>
      <c r="D77" s="8">
        <v>55</v>
      </c>
      <c r="E77" s="8">
        <v>48</v>
      </c>
      <c r="F77" s="6">
        <v>15.5</v>
      </c>
      <c r="G77" s="6">
        <v>14.7</v>
      </c>
      <c r="H77" s="8">
        <v>1</v>
      </c>
      <c r="I77" s="7" t="s">
        <v>61</v>
      </c>
      <c r="J77" s="5" t="s">
        <v>1163</v>
      </c>
      <c r="K77" s="5" t="s">
        <v>697</v>
      </c>
      <c r="L77" s="5" t="s">
        <v>1165</v>
      </c>
      <c r="M77" s="5" t="s">
        <v>1166</v>
      </c>
      <c r="N77" s="7" t="s">
        <v>63</v>
      </c>
      <c r="O77" s="5"/>
      <c r="P77" s="5" t="s">
        <v>1167</v>
      </c>
      <c r="Q77" s="7" t="s">
        <v>1168</v>
      </c>
      <c r="R77" s="5" t="s">
        <v>1169</v>
      </c>
      <c r="S77" s="12" t="s">
        <v>697</v>
      </c>
      <c r="T77" s="12" t="s">
        <v>698</v>
      </c>
      <c r="U77" s="12" t="s">
        <v>61</v>
      </c>
      <c r="V77" s="12" t="s">
        <v>699</v>
      </c>
    </row>
    <row r="78" spans="1:22" x14ac:dyDescent="0.25">
      <c r="A78" s="5" t="s">
        <v>1317</v>
      </c>
      <c r="B78" s="5" t="s">
        <v>338</v>
      </c>
      <c r="C78" s="8">
        <v>100</v>
      </c>
      <c r="D78" s="8">
        <v>43</v>
      </c>
      <c r="E78" s="8">
        <v>37</v>
      </c>
      <c r="F78" s="8">
        <v>29</v>
      </c>
      <c r="G78" s="6">
        <v>5.5</v>
      </c>
      <c r="H78" s="8">
        <v>1</v>
      </c>
      <c r="I78" s="7" t="s">
        <v>61</v>
      </c>
      <c r="J78" s="5" t="s">
        <v>1163</v>
      </c>
      <c r="K78" s="5" t="s">
        <v>672</v>
      </c>
      <c r="L78" s="5" t="s">
        <v>1165</v>
      </c>
      <c r="M78" s="5" t="s">
        <v>1166</v>
      </c>
      <c r="N78" s="7" t="s">
        <v>63</v>
      </c>
      <c r="O78" s="5"/>
      <c r="P78" s="5" t="s">
        <v>1167</v>
      </c>
      <c r="Q78" s="7" t="s">
        <v>1168</v>
      </c>
      <c r="R78" s="5" t="s">
        <v>1169</v>
      </c>
      <c r="S78" s="12" t="s">
        <v>672</v>
      </c>
      <c r="T78" s="12" t="s">
        <v>673</v>
      </c>
      <c r="U78" s="12" t="s">
        <v>61</v>
      </c>
      <c r="V78" s="12" t="s">
        <v>674</v>
      </c>
    </row>
    <row r="79" spans="1:22" x14ac:dyDescent="0.25">
      <c r="A79" s="5" t="s">
        <v>670</v>
      </c>
      <c r="B79" s="5" t="s">
        <v>671</v>
      </c>
      <c r="C79" s="8">
        <v>100</v>
      </c>
      <c r="D79" s="8">
        <v>43</v>
      </c>
      <c r="E79" s="8">
        <v>37</v>
      </c>
      <c r="F79" s="8">
        <v>29</v>
      </c>
      <c r="G79" s="6">
        <v>5.5</v>
      </c>
      <c r="H79" s="8">
        <v>1</v>
      </c>
      <c r="I79" s="7" t="s">
        <v>61</v>
      </c>
      <c r="J79" s="5" t="s">
        <v>1163</v>
      </c>
      <c r="K79" s="5" t="s">
        <v>672</v>
      </c>
      <c r="L79" s="5" t="s">
        <v>1165</v>
      </c>
      <c r="M79" s="5" t="s">
        <v>1166</v>
      </c>
      <c r="N79" s="7" t="s">
        <v>63</v>
      </c>
      <c r="O79" s="5"/>
      <c r="P79" s="5" t="s">
        <v>1167</v>
      </c>
      <c r="Q79" s="7" t="s">
        <v>1168</v>
      </c>
      <c r="R79" s="5" t="s">
        <v>1169</v>
      </c>
      <c r="S79" s="12" t="s">
        <v>672</v>
      </c>
      <c r="T79" s="12" t="s">
        <v>673</v>
      </c>
      <c r="U79" s="12" t="s">
        <v>61</v>
      </c>
      <c r="V79" s="12" t="s">
        <v>674</v>
      </c>
    </row>
    <row r="80" spans="1:22" x14ac:dyDescent="0.25">
      <c r="A80" s="5" t="s">
        <v>840</v>
      </c>
      <c r="B80" s="5" t="s">
        <v>841</v>
      </c>
      <c r="C80" s="8">
        <v>100</v>
      </c>
      <c r="D80" s="8">
        <v>45</v>
      </c>
      <c r="E80" s="8">
        <v>37</v>
      </c>
      <c r="F80" s="8">
        <v>32</v>
      </c>
      <c r="G80" s="6">
        <v>6.3</v>
      </c>
      <c r="H80" s="8">
        <v>1</v>
      </c>
      <c r="I80" s="7" t="s">
        <v>61</v>
      </c>
      <c r="J80" s="5" t="s">
        <v>1163</v>
      </c>
      <c r="K80" s="5" t="s">
        <v>842</v>
      </c>
      <c r="L80" s="5" t="s">
        <v>1165</v>
      </c>
      <c r="M80" s="5" t="s">
        <v>1166</v>
      </c>
      <c r="N80" s="7" t="s">
        <v>63</v>
      </c>
      <c r="O80" s="5"/>
      <c r="P80" s="5" t="s">
        <v>1167</v>
      </c>
      <c r="Q80" s="7" t="s">
        <v>1168</v>
      </c>
      <c r="R80" s="5" t="s">
        <v>1169</v>
      </c>
      <c r="S80" s="12" t="s">
        <v>842</v>
      </c>
      <c r="T80" s="12" t="s">
        <v>813</v>
      </c>
      <c r="U80" s="12" t="s">
        <v>61</v>
      </c>
      <c r="V80" s="12" t="s">
        <v>843</v>
      </c>
    </row>
    <row r="81" spans="1:22" x14ac:dyDescent="0.25">
      <c r="A81" s="5" t="s">
        <v>846</v>
      </c>
      <c r="B81" s="5" t="s">
        <v>847</v>
      </c>
      <c r="C81" s="8">
        <v>100</v>
      </c>
      <c r="D81" s="8">
        <v>46</v>
      </c>
      <c r="E81" s="8">
        <v>37</v>
      </c>
      <c r="F81" s="8">
        <v>32</v>
      </c>
      <c r="G81" s="6">
        <v>6.3</v>
      </c>
      <c r="H81" s="8">
        <v>1</v>
      </c>
      <c r="I81" s="7" t="s">
        <v>61</v>
      </c>
      <c r="J81" s="5" t="s">
        <v>1163</v>
      </c>
      <c r="K81" s="5" t="s">
        <v>848</v>
      </c>
      <c r="L81" s="5" t="s">
        <v>1165</v>
      </c>
      <c r="M81" s="5" t="s">
        <v>1166</v>
      </c>
      <c r="N81" s="7" t="s">
        <v>63</v>
      </c>
      <c r="O81" s="5"/>
      <c r="P81" s="5" t="s">
        <v>1167</v>
      </c>
      <c r="Q81" s="7" t="s">
        <v>1168</v>
      </c>
      <c r="R81" s="5" t="s">
        <v>1169</v>
      </c>
      <c r="S81" s="12" t="s">
        <v>848</v>
      </c>
      <c r="T81" s="12" t="s">
        <v>739</v>
      </c>
      <c r="U81" s="12" t="s">
        <v>61</v>
      </c>
      <c r="V81" s="12" t="s">
        <v>849</v>
      </c>
    </row>
    <row r="82" spans="1:22" x14ac:dyDescent="0.25">
      <c r="A82" s="5" t="s">
        <v>1318</v>
      </c>
      <c r="B82" s="5" t="s">
        <v>1319</v>
      </c>
      <c r="C82" s="8">
        <v>50</v>
      </c>
      <c r="D82" s="6">
        <v>45.5</v>
      </c>
      <c r="E82" s="8">
        <v>39</v>
      </c>
      <c r="F82" s="8">
        <v>37</v>
      </c>
      <c r="G82" s="6">
        <v>17.899999999999999</v>
      </c>
      <c r="H82" s="8">
        <v>1</v>
      </c>
      <c r="I82" s="7" t="s">
        <v>61</v>
      </c>
      <c r="J82" s="5" t="s">
        <v>1163</v>
      </c>
      <c r="K82" s="5" t="s">
        <v>1320</v>
      </c>
      <c r="L82" s="5" t="s">
        <v>1165</v>
      </c>
      <c r="M82" s="5" t="s">
        <v>1166</v>
      </c>
      <c r="N82" s="7" t="s">
        <v>63</v>
      </c>
      <c r="O82" s="5"/>
      <c r="P82" s="5" t="s">
        <v>1167</v>
      </c>
      <c r="Q82" s="7" t="s">
        <v>1168</v>
      </c>
      <c r="R82" s="5" t="s">
        <v>1169</v>
      </c>
      <c r="S82" s="12" t="s">
        <v>1320</v>
      </c>
      <c r="T82" s="12" t="s">
        <v>1054</v>
      </c>
      <c r="U82" s="12" t="s">
        <v>61</v>
      </c>
      <c r="V82" s="12" t="s">
        <v>1321</v>
      </c>
    </row>
    <row r="83" spans="1:22" x14ac:dyDescent="0.25">
      <c r="A83" s="5" t="s">
        <v>1322</v>
      </c>
      <c r="B83" s="5" t="s">
        <v>1323</v>
      </c>
      <c r="C83" s="8">
        <v>50</v>
      </c>
      <c r="D83" s="8">
        <v>72</v>
      </c>
      <c r="E83" s="8">
        <v>46</v>
      </c>
      <c r="F83" s="8">
        <v>17</v>
      </c>
      <c r="G83" s="6">
        <v>15.95</v>
      </c>
      <c r="H83" s="8">
        <v>1</v>
      </c>
      <c r="I83" s="7" t="s">
        <v>61</v>
      </c>
      <c r="J83" s="5" t="s">
        <v>1163</v>
      </c>
      <c r="K83" s="5" t="s">
        <v>1324</v>
      </c>
      <c r="L83" s="5" t="s">
        <v>1165</v>
      </c>
      <c r="M83" s="5" t="s">
        <v>1166</v>
      </c>
      <c r="N83" s="7" t="s">
        <v>63</v>
      </c>
      <c r="O83" s="5"/>
      <c r="P83" s="5" t="s">
        <v>1167</v>
      </c>
      <c r="Q83" s="7" t="s">
        <v>1168</v>
      </c>
      <c r="R83" s="5" t="s">
        <v>1169</v>
      </c>
      <c r="S83" s="12" t="s">
        <v>1324</v>
      </c>
      <c r="T83" s="12" t="s">
        <v>1325</v>
      </c>
      <c r="U83" s="12" t="s">
        <v>61</v>
      </c>
      <c r="V83" s="12" t="s">
        <v>1326</v>
      </c>
    </row>
    <row r="84" spans="1:22" x14ac:dyDescent="0.25">
      <c r="A84" s="5" t="s">
        <v>1327</v>
      </c>
      <c r="B84" s="5" t="s">
        <v>1328</v>
      </c>
      <c r="C84" s="8">
        <v>50</v>
      </c>
      <c r="D84" s="8">
        <v>47</v>
      </c>
      <c r="E84" s="6">
        <v>39.5</v>
      </c>
      <c r="F84" s="8">
        <v>28</v>
      </c>
      <c r="G84" s="6">
        <v>12.6</v>
      </c>
      <c r="H84" s="8">
        <v>1</v>
      </c>
      <c r="I84" s="7" t="s">
        <v>61</v>
      </c>
      <c r="J84" s="5" t="s">
        <v>1163</v>
      </c>
      <c r="K84" s="5" t="s">
        <v>1329</v>
      </c>
      <c r="L84" s="5" t="s">
        <v>1165</v>
      </c>
      <c r="M84" s="5" t="s">
        <v>1166</v>
      </c>
      <c r="N84" s="7" t="s">
        <v>63</v>
      </c>
      <c r="O84" s="5"/>
      <c r="P84" s="5" t="s">
        <v>1167</v>
      </c>
      <c r="Q84" s="7" t="s">
        <v>1168</v>
      </c>
      <c r="R84" s="5" t="s">
        <v>1169</v>
      </c>
      <c r="S84" s="12" t="s">
        <v>1329</v>
      </c>
      <c r="T84" s="12" t="s">
        <v>1330</v>
      </c>
      <c r="U84" s="12" t="s">
        <v>61</v>
      </c>
      <c r="V84" s="12" t="s">
        <v>1331</v>
      </c>
    </row>
    <row r="85" spans="1:22" x14ac:dyDescent="0.25">
      <c r="A85" s="5" t="s">
        <v>1056</v>
      </c>
      <c r="B85" s="5" t="s">
        <v>1057</v>
      </c>
      <c r="C85" s="8">
        <v>50</v>
      </c>
      <c r="D85" s="8">
        <v>46</v>
      </c>
      <c r="E85" s="8">
        <v>39</v>
      </c>
      <c r="F85" s="8">
        <v>37</v>
      </c>
      <c r="G85" s="6">
        <v>17.3</v>
      </c>
      <c r="H85" s="8">
        <v>1</v>
      </c>
      <c r="I85" s="7" t="s">
        <v>61</v>
      </c>
      <c r="J85" s="5" t="s">
        <v>1163</v>
      </c>
      <c r="K85" s="5" t="s">
        <v>1058</v>
      </c>
      <c r="L85" s="5" t="s">
        <v>1165</v>
      </c>
      <c r="M85" s="5" t="s">
        <v>1166</v>
      </c>
      <c r="N85" s="7" t="s">
        <v>63</v>
      </c>
      <c r="O85" s="5"/>
      <c r="P85" s="5" t="s">
        <v>1167</v>
      </c>
      <c r="Q85" s="7" t="s">
        <v>1168</v>
      </c>
      <c r="R85" s="5" t="s">
        <v>1169</v>
      </c>
      <c r="S85" s="12" t="s">
        <v>1058</v>
      </c>
      <c r="T85" s="12" t="s">
        <v>1059</v>
      </c>
      <c r="U85" s="12" t="s">
        <v>61</v>
      </c>
      <c r="V85" s="12" t="s">
        <v>1060</v>
      </c>
    </row>
    <row r="86" spans="1:22" x14ac:dyDescent="0.25">
      <c r="A86" s="5" t="s">
        <v>1051</v>
      </c>
      <c r="B86" s="5" t="s">
        <v>1052</v>
      </c>
      <c r="C86" s="8">
        <v>50</v>
      </c>
      <c r="D86" s="6">
        <v>45.5</v>
      </c>
      <c r="E86" s="8">
        <v>39</v>
      </c>
      <c r="F86" s="8">
        <v>37</v>
      </c>
      <c r="G86" s="6">
        <v>17.600000000000001</v>
      </c>
      <c r="H86" s="8">
        <v>1</v>
      </c>
      <c r="I86" s="7" t="s">
        <v>61</v>
      </c>
      <c r="J86" s="5" t="s">
        <v>1163</v>
      </c>
      <c r="K86" s="5" t="s">
        <v>1053</v>
      </c>
      <c r="L86" s="5" t="s">
        <v>1165</v>
      </c>
      <c r="M86" s="5" t="s">
        <v>1166</v>
      </c>
      <c r="N86" s="7" t="s">
        <v>63</v>
      </c>
      <c r="O86" s="5"/>
      <c r="P86" s="5" t="s">
        <v>1167</v>
      </c>
      <c r="Q86" s="7" t="s">
        <v>1168</v>
      </c>
      <c r="R86" s="5" t="s">
        <v>1169</v>
      </c>
      <c r="S86" s="12" t="s">
        <v>1053</v>
      </c>
      <c r="T86" s="12" t="s">
        <v>1054</v>
      </c>
      <c r="U86" s="12" t="s">
        <v>61</v>
      </c>
      <c r="V86" s="12" t="s">
        <v>1055</v>
      </c>
    </row>
    <row r="87" spans="1:22" x14ac:dyDescent="0.25">
      <c r="A87" s="5" t="s">
        <v>1332</v>
      </c>
      <c r="B87" s="5" t="s">
        <v>331</v>
      </c>
      <c r="C87" s="8">
        <v>100</v>
      </c>
      <c r="D87" s="8">
        <v>45</v>
      </c>
      <c r="E87" s="8">
        <v>37</v>
      </c>
      <c r="F87" s="8">
        <v>32</v>
      </c>
      <c r="G87" s="6">
        <v>6.4</v>
      </c>
      <c r="H87" s="8">
        <v>1</v>
      </c>
      <c r="I87" s="7" t="s">
        <v>61</v>
      </c>
      <c r="J87" s="5" t="s">
        <v>1163</v>
      </c>
      <c r="K87" s="5" t="s">
        <v>1333</v>
      </c>
      <c r="L87" s="5" t="s">
        <v>1165</v>
      </c>
      <c r="M87" s="5" t="s">
        <v>1166</v>
      </c>
      <c r="N87" s="7" t="s">
        <v>63</v>
      </c>
      <c r="O87" s="5"/>
      <c r="P87" s="5" t="s">
        <v>1167</v>
      </c>
      <c r="Q87" s="7" t="s">
        <v>1168</v>
      </c>
      <c r="R87" s="5" t="s">
        <v>1169</v>
      </c>
      <c r="S87" s="12" t="s">
        <v>1333</v>
      </c>
      <c r="T87" s="12" t="s">
        <v>813</v>
      </c>
      <c r="U87" s="12" t="s">
        <v>61</v>
      </c>
      <c r="V87" s="12" t="s">
        <v>1334</v>
      </c>
    </row>
    <row r="88" spans="1:22" x14ac:dyDescent="0.25">
      <c r="A88" s="5" t="s">
        <v>1335</v>
      </c>
      <c r="B88" s="5" t="s">
        <v>328</v>
      </c>
      <c r="C88" s="8">
        <v>100</v>
      </c>
      <c r="D88" s="8">
        <v>45</v>
      </c>
      <c r="E88" s="8">
        <v>37</v>
      </c>
      <c r="F88" s="8">
        <v>32</v>
      </c>
      <c r="G88" s="6">
        <v>6.4</v>
      </c>
      <c r="H88" s="8">
        <v>1</v>
      </c>
      <c r="I88" s="7" t="s">
        <v>61</v>
      </c>
      <c r="J88" s="5" t="s">
        <v>1163</v>
      </c>
      <c r="K88" s="5" t="s">
        <v>1333</v>
      </c>
      <c r="L88" s="5" t="s">
        <v>1165</v>
      </c>
      <c r="M88" s="5" t="s">
        <v>1166</v>
      </c>
      <c r="N88" s="7" t="s">
        <v>63</v>
      </c>
      <c r="O88" s="5"/>
      <c r="P88" s="5" t="s">
        <v>1167</v>
      </c>
      <c r="Q88" s="7" t="s">
        <v>1168</v>
      </c>
      <c r="R88" s="5" t="s">
        <v>1169</v>
      </c>
      <c r="S88" s="12" t="s">
        <v>1333</v>
      </c>
      <c r="T88" s="12" t="s">
        <v>813</v>
      </c>
      <c r="U88" s="12" t="s">
        <v>61</v>
      </c>
      <c r="V88" s="12" t="s">
        <v>1334</v>
      </c>
    </row>
    <row r="89" spans="1:22" x14ac:dyDescent="0.25">
      <c r="A89" s="5" t="s">
        <v>1336</v>
      </c>
      <c r="B89" s="5" t="s">
        <v>1337</v>
      </c>
      <c r="C89" s="8">
        <v>100</v>
      </c>
      <c r="D89" s="8">
        <v>45</v>
      </c>
      <c r="E89" s="8">
        <v>37</v>
      </c>
      <c r="F89" s="8">
        <v>32</v>
      </c>
      <c r="G89" s="6">
        <v>6.4</v>
      </c>
      <c r="H89" s="8">
        <v>1</v>
      </c>
      <c r="I89" s="7" t="s">
        <v>61</v>
      </c>
      <c r="J89" s="5" t="s">
        <v>1163</v>
      </c>
      <c r="K89" s="5" t="s">
        <v>1333</v>
      </c>
      <c r="L89" s="5" t="s">
        <v>1165</v>
      </c>
      <c r="M89" s="5" t="s">
        <v>1166</v>
      </c>
      <c r="N89" s="7" t="s">
        <v>63</v>
      </c>
      <c r="O89" s="5"/>
      <c r="P89" s="5" t="s">
        <v>1167</v>
      </c>
      <c r="Q89" s="7" t="s">
        <v>1168</v>
      </c>
      <c r="R89" s="5" t="s">
        <v>1169</v>
      </c>
      <c r="S89" s="12" t="s">
        <v>1333</v>
      </c>
      <c r="T89" s="12" t="s">
        <v>813</v>
      </c>
      <c r="U89" s="12" t="s">
        <v>61</v>
      </c>
      <c r="V89" s="12" t="s">
        <v>1334</v>
      </c>
    </row>
    <row r="90" spans="1:22" x14ac:dyDescent="0.25">
      <c r="A90" s="5" t="s">
        <v>1338</v>
      </c>
      <c r="B90" s="5" t="s">
        <v>333</v>
      </c>
      <c r="C90" s="8">
        <v>100</v>
      </c>
      <c r="D90" s="8">
        <v>45</v>
      </c>
      <c r="E90" s="8">
        <v>37</v>
      </c>
      <c r="F90" s="8">
        <v>32</v>
      </c>
      <c r="G90" s="6">
        <v>6.4</v>
      </c>
      <c r="H90" s="8">
        <v>1</v>
      </c>
      <c r="I90" s="7" t="s">
        <v>61</v>
      </c>
      <c r="J90" s="5" t="s">
        <v>1163</v>
      </c>
      <c r="K90" s="5" t="s">
        <v>1333</v>
      </c>
      <c r="L90" s="5" t="s">
        <v>1165</v>
      </c>
      <c r="M90" s="5" t="s">
        <v>1166</v>
      </c>
      <c r="N90" s="7" t="s">
        <v>63</v>
      </c>
      <c r="O90" s="5"/>
      <c r="P90" s="5" t="s">
        <v>1167</v>
      </c>
      <c r="Q90" s="7" t="s">
        <v>1168</v>
      </c>
      <c r="R90" s="5" t="s">
        <v>1169</v>
      </c>
      <c r="S90" s="12" t="s">
        <v>1333</v>
      </c>
      <c r="T90" s="12" t="s">
        <v>813</v>
      </c>
      <c r="U90" s="12" t="s">
        <v>61</v>
      </c>
      <c r="V90" s="12" t="s">
        <v>1334</v>
      </c>
    </row>
    <row r="91" spans="1:22" x14ac:dyDescent="0.25">
      <c r="A91" s="5" t="s">
        <v>1339</v>
      </c>
      <c r="B91" s="5" t="s">
        <v>1340</v>
      </c>
      <c r="C91" s="8">
        <v>100</v>
      </c>
      <c r="D91" s="8">
        <v>60</v>
      </c>
      <c r="E91" s="8">
        <v>44</v>
      </c>
      <c r="F91" s="8">
        <v>32</v>
      </c>
      <c r="G91" s="8">
        <v>26</v>
      </c>
      <c r="H91" s="8">
        <v>1</v>
      </c>
      <c r="I91" s="7" t="s">
        <v>61</v>
      </c>
      <c r="J91" s="5" t="s">
        <v>1163</v>
      </c>
      <c r="K91" s="5" t="s">
        <v>1341</v>
      </c>
      <c r="L91" s="5" t="s">
        <v>1165</v>
      </c>
      <c r="M91" s="5" t="s">
        <v>1166</v>
      </c>
      <c r="N91" s="7" t="s">
        <v>63</v>
      </c>
      <c r="O91" s="5"/>
      <c r="P91" s="5" t="s">
        <v>1167</v>
      </c>
      <c r="Q91" s="7" t="s">
        <v>1168</v>
      </c>
      <c r="R91" s="5" t="s">
        <v>1169</v>
      </c>
      <c r="S91" s="12" t="s">
        <v>1341</v>
      </c>
      <c r="T91" s="12" t="s">
        <v>1342</v>
      </c>
      <c r="U91" s="12" t="s">
        <v>61</v>
      </c>
      <c r="V91" s="12" t="s">
        <v>1343</v>
      </c>
    </row>
    <row r="92" spans="1:22" x14ac:dyDescent="0.25">
      <c r="A92" s="5" t="s">
        <v>858</v>
      </c>
      <c r="B92" s="5" t="s">
        <v>1344</v>
      </c>
      <c r="C92" s="8">
        <v>100</v>
      </c>
      <c r="D92" s="8">
        <v>34</v>
      </c>
      <c r="E92" s="8">
        <v>31</v>
      </c>
      <c r="F92" s="8">
        <v>16</v>
      </c>
      <c r="G92" s="6">
        <v>3.74</v>
      </c>
      <c r="H92" s="8">
        <v>1</v>
      </c>
      <c r="I92" s="7" t="s">
        <v>61</v>
      </c>
      <c r="J92" s="5" t="s">
        <v>1163</v>
      </c>
      <c r="K92" s="5" t="s">
        <v>860</v>
      </c>
      <c r="L92" s="5" t="s">
        <v>1165</v>
      </c>
      <c r="M92" s="5" t="s">
        <v>1166</v>
      </c>
      <c r="N92" s="7" t="s">
        <v>63</v>
      </c>
      <c r="O92" s="5"/>
      <c r="P92" s="5" t="s">
        <v>1167</v>
      </c>
      <c r="Q92" s="7" t="s">
        <v>1168</v>
      </c>
      <c r="R92" s="5" t="s">
        <v>1169</v>
      </c>
      <c r="S92" s="12" t="s">
        <v>860</v>
      </c>
      <c r="T92" s="12" t="s">
        <v>861</v>
      </c>
      <c r="U92" s="12" t="s">
        <v>61</v>
      </c>
      <c r="V92" s="12" t="s">
        <v>862</v>
      </c>
    </row>
    <row r="93" spans="1:22" x14ac:dyDescent="0.25">
      <c r="A93" s="5" t="s">
        <v>1345</v>
      </c>
      <c r="B93" s="5" t="s">
        <v>1346</v>
      </c>
      <c r="C93" s="8">
        <v>100</v>
      </c>
      <c r="D93" s="8">
        <v>34</v>
      </c>
      <c r="E93" s="8">
        <v>31</v>
      </c>
      <c r="F93" s="8">
        <v>16</v>
      </c>
      <c r="G93" s="6">
        <v>3.74</v>
      </c>
      <c r="H93" s="8">
        <v>1</v>
      </c>
      <c r="I93" s="7" t="s">
        <v>61</v>
      </c>
      <c r="J93" s="5" t="s">
        <v>1163</v>
      </c>
      <c r="K93" s="5" t="s">
        <v>860</v>
      </c>
      <c r="L93" s="5" t="s">
        <v>1165</v>
      </c>
      <c r="M93" s="5" t="s">
        <v>1166</v>
      </c>
      <c r="N93" s="7" t="s">
        <v>63</v>
      </c>
      <c r="O93" s="5"/>
      <c r="P93" s="5" t="s">
        <v>1167</v>
      </c>
      <c r="Q93" s="7" t="s">
        <v>1168</v>
      </c>
      <c r="R93" s="5" t="s">
        <v>1169</v>
      </c>
      <c r="S93" s="12" t="s">
        <v>860</v>
      </c>
      <c r="T93" s="12" t="s">
        <v>861</v>
      </c>
      <c r="U93" s="12" t="s">
        <v>61</v>
      </c>
      <c r="V93" s="12" t="s">
        <v>862</v>
      </c>
    </row>
    <row r="94" spans="1:22" x14ac:dyDescent="0.25">
      <c r="A94" s="5" t="s">
        <v>1347</v>
      </c>
      <c r="B94" s="5" t="s">
        <v>396</v>
      </c>
      <c r="C94" s="8">
        <v>83</v>
      </c>
      <c r="D94" s="8">
        <v>50</v>
      </c>
      <c r="E94" s="8">
        <v>44</v>
      </c>
      <c r="F94" s="8">
        <v>32</v>
      </c>
      <c r="G94" s="6">
        <v>6.32</v>
      </c>
      <c r="H94" s="8">
        <v>1</v>
      </c>
      <c r="I94" s="7" t="s">
        <v>61</v>
      </c>
      <c r="J94" s="5" t="s">
        <v>1163</v>
      </c>
      <c r="K94" s="5" t="s">
        <v>1348</v>
      </c>
      <c r="L94" s="5" t="s">
        <v>1165</v>
      </c>
      <c r="M94" s="5" t="s">
        <v>1166</v>
      </c>
      <c r="N94" s="7" t="s">
        <v>63</v>
      </c>
      <c r="O94" s="5"/>
      <c r="P94" s="5" t="s">
        <v>1167</v>
      </c>
      <c r="Q94" s="7" t="s">
        <v>1168</v>
      </c>
      <c r="R94" s="5" t="s">
        <v>1169</v>
      </c>
      <c r="S94" s="12" t="s">
        <v>1348</v>
      </c>
      <c r="T94" s="12" t="s">
        <v>1349</v>
      </c>
      <c r="U94" s="12" t="s">
        <v>61</v>
      </c>
      <c r="V94" s="12" t="s">
        <v>1350</v>
      </c>
    </row>
    <row r="95" spans="1:22" x14ac:dyDescent="0.25">
      <c r="A95" s="5" t="s">
        <v>1351</v>
      </c>
      <c r="B95" s="5" t="s">
        <v>398</v>
      </c>
      <c r="C95" s="8">
        <v>83</v>
      </c>
      <c r="D95" s="8">
        <v>50</v>
      </c>
      <c r="E95" s="8">
        <v>44</v>
      </c>
      <c r="F95" s="8">
        <v>32</v>
      </c>
      <c r="G95" s="6">
        <v>6.32</v>
      </c>
      <c r="H95" s="8">
        <v>1</v>
      </c>
      <c r="I95" s="7" t="s">
        <v>61</v>
      </c>
      <c r="J95" s="5" t="s">
        <v>1163</v>
      </c>
      <c r="K95" s="5" t="s">
        <v>1348</v>
      </c>
      <c r="L95" s="5" t="s">
        <v>1165</v>
      </c>
      <c r="M95" s="5" t="s">
        <v>1166</v>
      </c>
      <c r="N95" s="7" t="s">
        <v>63</v>
      </c>
      <c r="O95" s="5"/>
      <c r="P95" s="5" t="s">
        <v>1167</v>
      </c>
      <c r="Q95" s="7" t="s">
        <v>1168</v>
      </c>
      <c r="R95" s="5" t="s">
        <v>1169</v>
      </c>
      <c r="S95" s="12" t="s">
        <v>1348</v>
      </c>
      <c r="T95" s="12" t="s">
        <v>1349</v>
      </c>
      <c r="U95" s="12" t="s">
        <v>61</v>
      </c>
      <c r="V95" s="12" t="s">
        <v>1350</v>
      </c>
    </row>
    <row r="96" spans="1:22" x14ac:dyDescent="0.25">
      <c r="A96" s="5" t="s">
        <v>1352</v>
      </c>
      <c r="B96" s="5" t="s">
        <v>400</v>
      </c>
      <c r="C96" s="8">
        <v>83</v>
      </c>
      <c r="D96" s="8">
        <v>50</v>
      </c>
      <c r="E96" s="8">
        <v>44</v>
      </c>
      <c r="F96" s="8">
        <v>32</v>
      </c>
      <c r="G96" s="6">
        <v>6.32</v>
      </c>
      <c r="H96" s="8">
        <v>1</v>
      </c>
      <c r="I96" s="7" t="s">
        <v>61</v>
      </c>
      <c r="J96" s="5" t="s">
        <v>1163</v>
      </c>
      <c r="K96" s="5" t="s">
        <v>1348</v>
      </c>
      <c r="L96" s="5" t="s">
        <v>1165</v>
      </c>
      <c r="M96" s="5" t="s">
        <v>1166</v>
      </c>
      <c r="N96" s="7" t="s">
        <v>63</v>
      </c>
      <c r="O96" s="5"/>
      <c r="P96" s="5" t="s">
        <v>1167</v>
      </c>
      <c r="Q96" s="7" t="s">
        <v>1168</v>
      </c>
      <c r="R96" s="5" t="s">
        <v>1169</v>
      </c>
      <c r="S96" s="12" t="s">
        <v>1348</v>
      </c>
      <c r="T96" s="12" t="s">
        <v>1349</v>
      </c>
      <c r="U96" s="12" t="s">
        <v>61</v>
      </c>
      <c r="V96" s="12" t="s">
        <v>1350</v>
      </c>
    </row>
    <row r="97" spans="1:22" x14ac:dyDescent="0.25">
      <c r="A97" s="5" t="s">
        <v>1353</v>
      </c>
      <c r="B97" s="5" t="s">
        <v>1354</v>
      </c>
      <c r="C97" s="5"/>
      <c r="D97" s="5"/>
      <c r="E97" s="5"/>
      <c r="F97" s="5"/>
      <c r="G97" s="5"/>
      <c r="H97" s="8">
        <v>1</v>
      </c>
      <c r="I97" s="7" t="s">
        <v>61</v>
      </c>
      <c r="J97" s="5" t="s">
        <v>1163</v>
      </c>
      <c r="K97" s="5"/>
      <c r="L97" s="5" t="s">
        <v>1165</v>
      </c>
      <c r="M97" s="5" t="s">
        <v>1166</v>
      </c>
      <c r="N97" s="7" t="s">
        <v>63</v>
      </c>
      <c r="O97" s="5"/>
      <c r="P97" s="5" t="s">
        <v>1167</v>
      </c>
      <c r="Q97" s="5" t="s">
        <v>1355</v>
      </c>
      <c r="R97" s="5" t="s">
        <v>1356</v>
      </c>
      <c r="S97" s="12"/>
      <c r="T97" s="12"/>
      <c r="U97" s="12" t="s">
        <v>63</v>
      </c>
      <c r="V97" s="12" t="s">
        <v>1357</v>
      </c>
    </row>
    <row r="98" spans="1:22" ht="30" x14ac:dyDescent="0.25">
      <c r="A98" s="5" t="s">
        <v>1137</v>
      </c>
      <c r="B98" s="5" t="s">
        <v>1138</v>
      </c>
      <c r="C98" s="8">
        <v>200</v>
      </c>
      <c r="D98" s="6">
        <v>39.5</v>
      </c>
      <c r="E98" s="6">
        <v>22.5</v>
      </c>
      <c r="F98" s="6">
        <v>39.5</v>
      </c>
      <c r="G98" s="6">
        <v>6.5</v>
      </c>
      <c r="H98" s="8">
        <v>1</v>
      </c>
      <c r="I98" s="7" t="s">
        <v>61</v>
      </c>
      <c r="J98" s="5" t="s">
        <v>1163</v>
      </c>
      <c r="K98" s="5" t="s">
        <v>98</v>
      </c>
      <c r="L98" s="5" t="s">
        <v>1165</v>
      </c>
      <c r="M98" s="5" t="s">
        <v>1166</v>
      </c>
      <c r="N98" s="7" t="s">
        <v>63</v>
      </c>
      <c r="O98" s="5"/>
      <c r="P98" s="5" t="s">
        <v>1167</v>
      </c>
      <c r="Q98" s="7" t="s">
        <v>1168</v>
      </c>
      <c r="R98" s="5" t="s">
        <v>1169</v>
      </c>
      <c r="S98" s="12" t="s">
        <v>98</v>
      </c>
      <c r="T98" s="12" t="s">
        <v>99</v>
      </c>
      <c r="U98" s="12" t="s">
        <v>61</v>
      </c>
      <c r="V98" s="12" t="s">
        <v>100</v>
      </c>
    </row>
    <row r="99" spans="1:22" ht="30" x14ac:dyDescent="0.25">
      <c r="A99" s="5" t="s">
        <v>1139</v>
      </c>
      <c r="B99" s="5" t="s">
        <v>1140</v>
      </c>
      <c r="C99" s="8">
        <v>200</v>
      </c>
      <c r="D99" s="6">
        <v>39.5</v>
      </c>
      <c r="E99" s="6">
        <v>22.5</v>
      </c>
      <c r="F99" s="6">
        <v>39.5</v>
      </c>
      <c r="G99" s="6">
        <v>6.5</v>
      </c>
      <c r="H99" s="8">
        <v>1</v>
      </c>
      <c r="I99" s="7" t="s">
        <v>61</v>
      </c>
      <c r="J99" s="5" t="s">
        <v>1163</v>
      </c>
      <c r="K99" s="5" t="s">
        <v>98</v>
      </c>
      <c r="L99" s="5" t="s">
        <v>1165</v>
      </c>
      <c r="M99" s="5" t="s">
        <v>1166</v>
      </c>
      <c r="N99" s="7" t="s">
        <v>63</v>
      </c>
      <c r="O99" s="5"/>
      <c r="P99" s="5" t="s">
        <v>1167</v>
      </c>
      <c r="Q99" s="7" t="s">
        <v>1168</v>
      </c>
      <c r="R99" s="5" t="s">
        <v>1169</v>
      </c>
      <c r="S99" s="12" t="s">
        <v>98</v>
      </c>
      <c r="T99" s="12" t="s">
        <v>99</v>
      </c>
      <c r="U99" s="12" t="s">
        <v>61</v>
      </c>
      <c r="V99" s="12" t="s">
        <v>100</v>
      </c>
    </row>
    <row r="100" spans="1:22" x14ac:dyDescent="0.25">
      <c r="A100" s="5" t="s">
        <v>883</v>
      </c>
      <c r="B100" s="5" t="s">
        <v>884</v>
      </c>
      <c r="C100" s="8">
        <v>100</v>
      </c>
      <c r="D100" s="8">
        <v>43</v>
      </c>
      <c r="E100" s="8">
        <v>37</v>
      </c>
      <c r="F100" s="8">
        <v>30</v>
      </c>
      <c r="G100" s="6">
        <v>5.5</v>
      </c>
      <c r="H100" s="8">
        <v>1</v>
      </c>
      <c r="I100" s="7" t="s">
        <v>61</v>
      </c>
      <c r="J100" s="5" t="s">
        <v>1163</v>
      </c>
      <c r="K100" s="5" t="s">
        <v>885</v>
      </c>
      <c r="L100" s="5" t="s">
        <v>1165</v>
      </c>
      <c r="M100" s="5" t="s">
        <v>1166</v>
      </c>
      <c r="N100" s="7" t="s">
        <v>63</v>
      </c>
      <c r="O100" s="5"/>
      <c r="P100" s="5" t="s">
        <v>1167</v>
      </c>
      <c r="Q100" s="7" t="s">
        <v>1168</v>
      </c>
      <c r="R100" s="5" t="s">
        <v>1169</v>
      </c>
      <c r="S100" s="12" t="s">
        <v>885</v>
      </c>
      <c r="T100" s="12" t="s">
        <v>886</v>
      </c>
      <c r="U100" s="12" t="s">
        <v>61</v>
      </c>
      <c r="V100" s="12" t="s">
        <v>887</v>
      </c>
    </row>
    <row r="101" spans="1:22" x14ac:dyDescent="0.25">
      <c r="A101" s="5" t="s">
        <v>890</v>
      </c>
      <c r="B101" s="5" t="s">
        <v>891</v>
      </c>
      <c r="C101" s="8">
        <v>100</v>
      </c>
      <c r="D101" s="8">
        <v>43</v>
      </c>
      <c r="E101" s="8">
        <v>37</v>
      </c>
      <c r="F101" s="8">
        <v>30</v>
      </c>
      <c r="G101" s="6">
        <v>5.5</v>
      </c>
      <c r="H101" s="8">
        <v>1</v>
      </c>
      <c r="I101" s="7" t="s">
        <v>61</v>
      </c>
      <c r="J101" s="5" t="s">
        <v>1163</v>
      </c>
      <c r="K101" s="5" t="s">
        <v>885</v>
      </c>
      <c r="L101" s="5" t="s">
        <v>1165</v>
      </c>
      <c r="M101" s="5" t="s">
        <v>1166</v>
      </c>
      <c r="N101" s="7" t="s">
        <v>63</v>
      </c>
      <c r="O101" s="5"/>
      <c r="P101" s="5" t="s">
        <v>1167</v>
      </c>
      <c r="Q101" s="7" t="s">
        <v>1168</v>
      </c>
      <c r="R101" s="5" t="s">
        <v>1169</v>
      </c>
      <c r="S101" s="12" t="s">
        <v>885</v>
      </c>
      <c r="T101" s="12" t="s">
        <v>886</v>
      </c>
      <c r="U101" s="12" t="s">
        <v>61</v>
      </c>
      <c r="V101" s="12" t="s">
        <v>887</v>
      </c>
    </row>
    <row r="102" spans="1:22" x14ac:dyDescent="0.25">
      <c r="A102" s="5" t="s">
        <v>894</v>
      </c>
      <c r="B102" s="5" t="s">
        <v>895</v>
      </c>
      <c r="C102" s="8">
        <v>100</v>
      </c>
      <c r="D102" s="8">
        <v>43</v>
      </c>
      <c r="E102" s="8">
        <v>37</v>
      </c>
      <c r="F102" s="8">
        <v>30</v>
      </c>
      <c r="G102" s="6">
        <v>5.5</v>
      </c>
      <c r="H102" s="8">
        <v>1</v>
      </c>
      <c r="I102" s="7" t="s">
        <v>61</v>
      </c>
      <c r="J102" s="5" t="s">
        <v>1163</v>
      </c>
      <c r="K102" s="5" t="s">
        <v>885</v>
      </c>
      <c r="L102" s="5" t="s">
        <v>1165</v>
      </c>
      <c r="M102" s="5" t="s">
        <v>1166</v>
      </c>
      <c r="N102" s="7" t="s">
        <v>63</v>
      </c>
      <c r="O102" s="5"/>
      <c r="P102" s="5" t="s">
        <v>1167</v>
      </c>
      <c r="Q102" s="7" t="s">
        <v>1168</v>
      </c>
      <c r="R102" s="5" t="s">
        <v>1169</v>
      </c>
      <c r="S102" s="12" t="s">
        <v>885</v>
      </c>
      <c r="T102" s="12" t="s">
        <v>886</v>
      </c>
      <c r="U102" s="12" t="s">
        <v>61</v>
      </c>
      <c r="V102" s="12" t="s">
        <v>887</v>
      </c>
    </row>
    <row r="103" spans="1:22" x14ac:dyDescent="0.25">
      <c r="A103" s="5" t="s">
        <v>1358</v>
      </c>
      <c r="B103" s="5" t="s">
        <v>451</v>
      </c>
      <c r="C103" s="8">
        <v>50</v>
      </c>
      <c r="D103" s="8">
        <v>43</v>
      </c>
      <c r="E103" s="8">
        <v>34</v>
      </c>
      <c r="F103" s="6">
        <v>28.5</v>
      </c>
      <c r="G103" s="8">
        <v>10</v>
      </c>
      <c r="H103" s="8">
        <v>1</v>
      </c>
      <c r="I103" s="7" t="s">
        <v>61</v>
      </c>
      <c r="J103" s="5" t="s">
        <v>1163</v>
      </c>
      <c r="K103" s="5" t="s">
        <v>1359</v>
      </c>
      <c r="L103" s="5" t="s">
        <v>1165</v>
      </c>
      <c r="M103" s="5" t="s">
        <v>1166</v>
      </c>
      <c r="N103" s="7" t="s">
        <v>63</v>
      </c>
      <c r="O103" s="5"/>
      <c r="P103" s="5" t="s">
        <v>1167</v>
      </c>
      <c r="Q103" s="7" t="s">
        <v>1168</v>
      </c>
      <c r="R103" s="5" t="s">
        <v>1169</v>
      </c>
      <c r="S103" s="12" t="s">
        <v>1359</v>
      </c>
      <c r="T103" s="12" t="s">
        <v>1360</v>
      </c>
      <c r="U103" s="12" t="s">
        <v>61</v>
      </c>
      <c r="V103" s="12" t="s">
        <v>1361</v>
      </c>
    </row>
    <row r="104" spans="1:22" ht="30" x14ac:dyDescent="0.25">
      <c r="A104" s="5" t="s">
        <v>1362</v>
      </c>
      <c r="B104" s="5" t="s">
        <v>1363</v>
      </c>
      <c r="C104" s="8">
        <v>80</v>
      </c>
      <c r="D104" s="6">
        <v>46.5</v>
      </c>
      <c r="E104" s="8">
        <v>39</v>
      </c>
      <c r="F104" s="6">
        <v>37.5</v>
      </c>
      <c r="G104" s="6">
        <v>13.85</v>
      </c>
      <c r="H104" s="8">
        <v>1</v>
      </c>
      <c r="I104" s="7" t="s">
        <v>61</v>
      </c>
      <c r="J104" s="5" t="s">
        <v>1163</v>
      </c>
      <c r="K104" s="5" t="s">
        <v>1364</v>
      </c>
      <c r="L104" s="5" t="s">
        <v>1165</v>
      </c>
      <c r="M104" s="5" t="s">
        <v>1166</v>
      </c>
      <c r="N104" s="7" t="s">
        <v>63</v>
      </c>
      <c r="O104" s="5"/>
      <c r="P104" s="5" t="s">
        <v>1167</v>
      </c>
      <c r="Q104" s="7" t="s">
        <v>1168</v>
      </c>
      <c r="R104" s="5" t="s">
        <v>1169</v>
      </c>
      <c r="S104" s="12" t="s">
        <v>1364</v>
      </c>
      <c r="T104" s="12" t="s">
        <v>1365</v>
      </c>
      <c r="U104" s="12" t="s">
        <v>61</v>
      </c>
      <c r="V104" s="12" t="s">
        <v>1366</v>
      </c>
    </row>
    <row r="105" spans="1:22" x14ac:dyDescent="0.25">
      <c r="A105" s="5" t="s">
        <v>1367</v>
      </c>
      <c r="B105" s="5" t="s">
        <v>460</v>
      </c>
      <c r="C105" s="8">
        <v>200</v>
      </c>
      <c r="D105" s="8">
        <v>59</v>
      </c>
      <c r="E105" s="8">
        <v>41</v>
      </c>
      <c r="F105" s="8">
        <v>40</v>
      </c>
      <c r="G105" s="6">
        <v>13.6</v>
      </c>
      <c r="H105" s="8">
        <v>1</v>
      </c>
      <c r="I105" s="7" t="s">
        <v>61</v>
      </c>
      <c r="J105" s="5" t="s">
        <v>1163</v>
      </c>
      <c r="K105" s="5" t="s">
        <v>1368</v>
      </c>
      <c r="L105" s="5" t="s">
        <v>1165</v>
      </c>
      <c r="M105" s="5" t="s">
        <v>1166</v>
      </c>
      <c r="N105" s="7" t="s">
        <v>63</v>
      </c>
      <c r="O105" s="5"/>
      <c r="P105" s="5" t="s">
        <v>1167</v>
      </c>
      <c r="Q105" s="7" t="s">
        <v>1168</v>
      </c>
      <c r="R105" s="5" t="s">
        <v>1169</v>
      </c>
      <c r="S105" s="12" t="s">
        <v>1368</v>
      </c>
      <c r="T105" s="12" t="s">
        <v>1049</v>
      </c>
      <c r="U105" s="12" t="s">
        <v>61</v>
      </c>
      <c r="V105" s="12" t="s">
        <v>1369</v>
      </c>
    </row>
    <row r="106" spans="1:22" x14ac:dyDescent="0.25">
      <c r="A106" s="5" t="s">
        <v>1370</v>
      </c>
      <c r="B106" s="5" t="s">
        <v>462</v>
      </c>
      <c r="C106" s="8">
        <v>200</v>
      </c>
      <c r="D106" s="8">
        <v>59</v>
      </c>
      <c r="E106" s="8">
        <v>41</v>
      </c>
      <c r="F106" s="8">
        <v>40</v>
      </c>
      <c r="G106" s="6">
        <v>13.6</v>
      </c>
      <c r="H106" s="8">
        <v>1</v>
      </c>
      <c r="I106" s="7" t="s">
        <v>61</v>
      </c>
      <c r="J106" s="5" t="s">
        <v>1163</v>
      </c>
      <c r="K106" s="5" t="s">
        <v>1368</v>
      </c>
      <c r="L106" s="5" t="s">
        <v>1165</v>
      </c>
      <c r="M106" s="5" t="s">
        <v>1166</v>
      </c>
      <c r="N106" s="7" t="s">
        <v>63</v>
      </c>
      <c r="O106" s="5"/>
      <c r="P106" s="5" t="s">
        <v>1167</v>
      </c>
      <c r="Q106" s="7" t="s">
        <v>1168</v>
      </c>
      <c r="R106" s="5" t="s">
        <v>1169</v>
      </c>
      <c r="S106" s="12" t="s">
        <v>1368</v>
      </c>
      <c r="T106" s="12" t="s">
        <v>1049</v>
      </c>
      <c r="U106" s="12" t="s">
        <v>61</v>
      </c>
      <c r="V106" s="12" t="s">
        <v>1369</v>
      </c>
    </row>
    <row r="107" spans="1:22" x14ac:dyDescent="0.25">
      <c r="A107" s="5" t="s">
        <v>1371</v>
      </c>
      <c r="B107" s="5" t="s">
        <v>458</v>
      </c>
      <c r="C107" s="8">
        <v>200</v>
      </c>
      <c r="D107" s="8">
        <v>59</v>
      </c>
      <c r="E107" s="8">
        <v>41</v>
      </c>
      <c r="F107" s="8">
        <v>40</v>
      </c>
      <c r="G107" s="6">
        <v>13.6</v>
      </c>
      <c r="H107" s="8">
        <v>1</v>
      </c>
      <c r="I107" s="7" t="s">
        <v>61</v>
      </c>
      <c r="J107" s="5" t="s">
        <v>1163</v>
      </c>
      <c r="K107" s="5" t="s">
        <v>1368</v>
      </c>
      <c r="L107" s="5" t="s">
        <v>1165</v>
      </c>
      <c r="M107" s="5" t="s">
        <v>1166</v>
      </c>
      <c r="N107" s="7" t="s">
        <v>63</v>
      </c>
      <c r="O107" s="5"/>
      <c r="P107" s="5" t="s">
        <v>1167</v>
      </c>
      <c r="Q107" s="7" t="s">
        <v>1168</v>
      </c>
      <c r="R107" s="5" t="s">
        <v>1169</v>
      </c>
      <c r="S107" s="12" t="s">
        <v>1368</v>
      </c>
      <c r="T107" s="12" t="s">
        <v>1049</v>
      </c>
      <c r="U107" s="12" t="s">
        <v>61</v>
      </c>
      <c r="V107" s="12" t="s">
        <v>1369</v>
      </c>
    </row>
    <row r="108" spans="1:22" x14ac:dyDescent="0.25">
      <c r="A108" s="5" t="s">
        <v>1372</v>
      </c>
      <c r="B108" s="5" t="s">
        <v>466</v>
      </c>
      <c r="C108" s="8">
        <v>50</v>
      </c>
      <c r="D108" s="8">
        <v>59</v>
      </c>
      <c r="E108" s="8">
        <v>41</v>
      </c>
      <c r="F108" s="8">
        <v>40</v>
      </c>
      <c r="G108" s="6">
        <v>13.7</v>
      </c>
      <c r="H108" s="8">
        <v>1</v>
      </c>
      <c r="I108" s="7" t="s">
        <v>61</v>
      </c>
      <c r="J108" s="5" t="s">
        <v>1163</v>
      </c>
      <c r="K108" s="5" t="s">
        <v>1373</v>
      </c>
      <c r="L108" s="5" t="s">
        <v>1165</v>
      </c>
      <c r="M108" s="5" t="s">
        <v>1166</v>
      </c>
      <c r="N108" s="7" t="s">
        <v>63</v>
      </c>
      <c r="O108" s="5"/>
      <c r="P108" s="5" t="s">
        <v>1167</v>
      </c>
      <c r="Q108" s="7" t="s">
        <v>1168</v>
      </c>
      <c r="R108" s="5" t="s">
        <v>1169</v>
      </c>
      <c r="S108" s="12" t="s">
        <v>1373</v>
      </c>
      <c r="T108" s="12" t="s">
        <v>1049</v>
      </c>
      <c r="U108" s="12" t="s">
        <v>61</v>
      </c>
      <c r="V108" s="12" t="s">
        <v>1374</v>
      </c>
    </row>
    <row r="109" spans="1:22" x14ac:dyDescent="0.25">
      <c r="A109" s="5" t="s">
        <v>1047</v>
      </c>
      <c r="B109" s="5" t="s">
        <v>470</v>
      </c>
      <c r="C109" s="8">
        <v>140</v>
      </c>
      <c r="D109" s="8">
        <v>59</v>
      </c>
      <c r="E109" s="8">
        <v>41</v>
      </c>
      <c r="F109" s="8">
        <v>40</v>
      </c>
      <c r="G109" s="6">
        <v>10.5</v>
      </c>
      <c r="H109" s="8">
        <v>1</v>
      </c>
      <c r="I109" s="7" t="s">
        <v>61</v>
      </c>
      <c r="J109" s="5" t="s">
        <v>1163</v>
      </c>
      <c r="K109" s="5" t="s">
        <v>1048</v>
      </c>
      <c r="L109" s="5" t="s">
        <v>1165</v>
      </c>
      <c r="M109" s="5" t="s">
        <v>1166</v>
      </c>
      <c r="N109" s="7" t="s">
        <v>63</v>
      </c>
      <c r="O109" s="5"/>
      <c r="P109" s="5" t="s">
        <v>1167</v>
      </c>
      <c r="Q109" s="7" t="s">
        <v>1168</v>
      </c>
      <c r="R109" s="5" t="s">
        <v>1169</v>
      </c>
      <c r="S109" s="12" t="s">
        <v>1048</v>
      </c>
      <c r="T109" s="12" t="s">
        <v>1049</v>
      </c>
      <c r="U109" s="12" t="s">
        <v>61</v>
      </c>
      <c r="V109" s="12" t="s">
        <v>1050</v>
      </c>
    </row>
    <row r="110" spans="1:22" x14ac:dyDescent="0.25">
      <c r="A110" s="5" t="s">
        <v>1375</v>
      </c>
      <c r="B110" s="5" t="s">
        <v>455</v>
      </c>
      <c r="C110" s="8">
        <v>200</v>
      </c>
      <c r="D110" s="8">
        <v>59</v>
      </c>
      <c r="E110" s="8">
        <v>41</v>
      </c>
      <c r="F110" s="8">
        <v>40</v>
      </c>
      <c r="G110" s="6">
        <v>13.6</v>
      </c>
      <c r="H110" s="8">
        <v>1</v>
      </c>
      <c r="I110" s="7" t="s">
        <v>61</v>
      </c>
      <c r="J110" s="5" t="s">
        <v>1163</v>
      </c>
      <c r="K110" s="5" t="s">
        <v>1368</v>
      </c>
      <c r="L110" s="5" t="s">
        <v>1165</v>
      </c>
      <c r="M110" s="5" t="s">
        <v>1166</v>
      </c>
      <c r="N110" s="7" t="s">
        <v>63</v>
      </c>
      <c r="O110" s="5"/>
      <c r="P110" s="5" t="s">
        <v>1167</v>
      </c>
      <c r="Q110" s="7" t="s">
        <v>1168</v>
      </c>
      <c r="R110" s="5" t="s">
        <v>1169</v>
      </c>
      <c r="S110" s="12" t="s">
        <v>1368</v>
      </c>
      <c r="T110" s="12" t="s">
        <v>1049</v>
      </c>
      <c r="U110" s="12" t="s">
        <v>61</v>
      </c>
      <c r="V110" s="12" t="s">
        <v>1369</v>
      </c>
    </row>
    <row r="111" spans="1:22" x14ac:dyDescent="0.25">
      <c r="A111" s="5" t="s">
        <v>1376</v>
      </c>
      <c r="B111" s="5" t="s">
        <v>1377</v>
      </c>
      <c r="C111" s="8">
        <v>100</v>
      </c>
      <c r="D111" s="6">
        <v>41.5</v>
      </c>
      <c r="E111" s="8">
        <v>43</v>
      </c>
      <c r="F111" s="8">
        <v>32</v>
      </c>
      <c r="G111" s="6">
        <v>5.3</v>
      </c>
      <c r="H111" s="8">
        <v>1</v>
      </c>
      <c r="I111" s="7" t="s">
        <v>61</v>
      </c>
      <c r="J111" s="5" t="s">
        <v>1163</v>
      </c>
      <c r="K111" s="5" t="s">
        <v>1378</v>
      </c>
      <c r="L111" s="5" t="s">
        <v>1165</v>
      </c>
      <c r="M111" s="5" t="s">
        <v>1166</v>
      </c>
      <c r="N111" s="7" t="s">
        <v>63</v>
      </c>
      <c r="O111" s="5"/>
      <c r="P111" s="5" t="s">
        <v>1167</v>
      </c>
      <c r="Q111" s="7" t="s">
        <v>1168</v>
      </c>
      <c r="R111" s="5" t="s">
        <v>1169</v>
      </c>
      <c r="S111" s="12" t="s">
        <v>1378</v>
      </c>
      <c r="T111" s="12" t="s">
        <v>1379</v>
      </c>
      <c r="U111" s="12" t="s">
        <v>61</v>
      </c>
      <c r="V111" s="12" t="s">
        <v>1380</v>
      </c>
    </row>
    <row r="112" spans="1:22" x14ac:dyDescent="0.25">
      <c r="A112" s="5" t="s">
        <v>1381</v>
      </c>
      <c r="B112" s="5" t="s">
        <v>1382</v>
      </c>
      <c r="C112" s="8">
        <v>100</v>
      </c>
      <c r="D112" s="6">
        <v>41.5</v>
      </c>
      <c r="E112" s="8">
        <v>43</v>
      </c>
      <c r="F112" s="8">
        <v>32</v>
      </c>
      <c r="G112" s="6">
        <v>5.3</v>
      </c>
      <c r="H112" s="8">
        <v>1</v>
      </c>
      <c r="I112" s="7" t="s">
        <v>61</v>
      </c>
      <c r="J112" s="5" t="s">
        <v>1163</v>
      </c>
      <c r="K112" s="5" t="s">
        <v>1378</v>
      </c>
      <c r="L112" s="5" t="s">
        <v>1165</v>
      </c>
      <c r="M112" s="5" t="s">
        <v>1166</v>
      </c>
      <c r="N112" s="7" t="s">
        <v>63</v>
      </c>
      <c r="O112" s="5"/>
      <c r="P112" s="5" t="s">
        <v>1167</v>
      </c>
      <c r="Q112" s="7" t="s">
        <v>1168</v>
      </c>
      <c r="R112" s="5" t="s">
        <v>1169</v>
      </c>
      <c r="S112" s="12" t="s">
        <v>1378</v>
      </c>
      <c r="T112" s="12" t="s">
        <v>1379</v>
      </c>
      <c r="U112" s="12" t="s">
        <v>61</v>
      </c>
      <c r="V112" s="12" t="s">
        <v>1380</v>
      </c>
    </row>
    <row r="113" spans="1:22" x14ac:dyDescent="0.25">
      <c r="A113" s="5" t="s">
        <v>1383</v>
      </c>
      <c r="B113" s="5" t="s">
        <v>1384</v>
      </c>
      <c r="C113" s="8">
        <v>100</v>
      </c>
      <c r="D113" s="6">
        <v>41.5</v>
      </c>
      <c r="E113" s="8">
        <v>43</v>
      </c>
      <c r="F113" s="8">
        <v>32</v>
      </c>
      <c r="G113" s="6">
        <v>5.3</v>
      </c>
      <c r="H113" s="8">
        <v>1</v>
      </c>
      <c r="I113" s="7" t="s">
        <v>61</v>
      </c>
      <c r="J113" s="5" t="s">
        <v>1163</v>
      </c>
      <c r="K113" s="5" t="s">
        <v>1378</v>
      </c>
      <c r="L113" s="5" t="s">
        <v>1165</v>
      </c>
      <c r="M113" s="5" t="s">
        <v>1166</v>
      </c>
      <c r="N113" s="7" t="s">
        <v>63</v>
      </c>
      <c r="O113" s="5"/>
      <c r="P113" s="5" t="s">
        <v>1167</v>
      </c>
      <c r="Q113" s="7" t="s">
        <v>1168</v>
      </c>
      <c r="R113" s="5" t="s">
        <v>1169</v>
      </c>
      <c r="S113" s="12" t="s">
        <v>1378</v>
      </c>
      <c r="T113" s="12" t="s">
        <v>1379</v>
      </c>
      <c r="U113" s="12" t="s">
        <v>61</v>
      </c>
      <c r="V113" s="12" t="s">
        <v>1380</v>
      </c>
    </row>
    <row r="114" spans="1:22" x14ac:dyDescent="0.25">
      <c r="A114" s="5" t="s">
        <v>675</v>
      </c>
      <c r="B114" s="5" t="s">
        <v>676</v>
      </c>
      <c r="C114" s="8">
        <v>36</v>
      </c>
      <c r="D114" s="8">
        <v>55</v>
      </c>
      <c r="E114" s="8">
        <v>35</v>
      </c>
      <c r="F114" s="8">
        <v>20</v>
      </c>
      <c r="G114" s="6">
        <v>8.6</v>
      </c>
      <c r="H114" s="8">
        <v>1</v>
      </c>
      <c r="I114" s="7" t="s">
        <v>61</v>
      </c>
      <c r="J114" s="5" t="s">
        <v>1163</v>
      </c>
      <c r="K114" s="5" t="s">
        <v>677</v>
      </c>
      <c r="L114" s="5" t="s">
        <v>1165</v>
      </c>
      <c r="M114" s="5" t="s">
        <v>1166</v>
      </c>
      <c r="N114" s="7" t="s">
        <v>63</v>
      </c>
      <c r="O114" s="5"/>
      <c r="P114" s="5" t="s">
        <v>1167</v>
      </c>
      <c r="Q114" s="7" t="s">
        <v>1168</v>
      </c>
      <c r="R114" s="5" t="s">
        <v>1169</v>
      </c>
      <c r="S114" s="12" t="s">
        <v>677</v>
      </c>
      <c r="T114" s="12" t="s">
        <v>661</v>
      </c>
      <c r="U114" s="12" t="s">
        <v>61</v>
      </c>
      <c r="V114" s="12" t="s">
        <v>678</v>
      </c>
    </row>
    <row r="115" spans="1:22" x14ac:dyDescent="0.25">
      <c r="A115" s="5" t="s">
        <v>1385</v>
      </c>
      <c r="B115" s="5" t="s">
        <v>1386</v>
      </c>
      <c r="C115" s="8">
        <v>30</v>
      </c>
      <c r="D115" s="8">
        <v>55</v>
      </c>
      <c r="E115" s="8">
        <v>34</v>
      </c>
      <c r="F115" s="8">
        <v>18</v>
      </c>
      <c r="G115" s="6">
        <v>7.1</v>
      </c>
      <c r="H115" s="8">
        <v>1</v>
      </c>
      <c r="I115" s="7" t="s">
        <v>61</v>
      </c>
      <c r="J115" s="5" t="s">
        <v>1163</v>
      </c>
      <c r="K115" s="5" t="s">
        <v>1387</v>
      </c>
      <c r="L115" s="5" t="s">
        <v>1165</v>
      </c>
      <c r="M115" s="5" t="s">
        <v>1166</v>
      </c>
      <c r="N115" s="7" t="s">
        <v>63</v>
      </c>
      <c r="O115" s="5"/>
      <c r="P115" s="5" t="s">
        <v>1167</v>
      </c>
      <c r="Q115" s="7" t="s">
        <v>1168</v>
      </c>
      <c r="R115" s="5" t="s">
        <v>1169</v>
      </c>
      <c r="S115" s="12" t="s">
        <v>1387</v>
      </c>
      <c r="T115" s="12" t="s">
        <v>1388</v>
      </c>
      <c r="U115" s="12" t="s">
        <v>61</v>
      </c>
      <c r="V115" s="12" t="s">
        <v>1389</v>
      </c>
    </row>
    <row r="116" spans="1:22" x14ac:dyDescent="0.25">
      <c r="A116" s="5" t="s">
        <v>679</v>
      </c>
      <c r="B116" s="5" t="s">
        <v>680</v>
      </c>
      <c r="C116" s="8">
        <v>36</v>
      </c>
      <c r="D116" s="8">
        <v>56</v>
      </c>
      <c r="E116" s="8">
        <v>35</v>
      </c>
      <c r="F116" s="8">
        <v>20</v>
      </c>
      <c r="G116" s="6">
        <v>8.3000000000000007</v>
      </c>
      <c r="H116" s="8">
        <v>1</v>
      </c>
      <c r="I116" s="7" t="s">
        <v>61</v>
      </c>
      <c r="J116" s="5" t="s">
        <v>1163</v>
      </c>
      <c r="K116" s="5" t="s">
        <v>681</v>
      </c>
      <c r="L116" s="5" t="s">
        <v>1165</v>
      </c>
      <c r="M116" s="5" t="s">
        <v>1166</v>
      </c>
      <c r="N116" s="7" t="s">
        <v>63</v>
      </c>
      <c r="O116" s="5"/>
      <c r="P116" s="5" t="s">
        <v>1167</v>
      </c>
      <c r="Q116" s="7" t="s">
        <v>1168</v>
      </c>
      <c r="R116" s="5" t="s">
        <v>1169</v>
      </c>
      <c r="S116" s="12" t="s">
        <v>681</v>
      </c>
      <c r="T116" s="12" t="s">
        <v>682</v>
      </c>
      <c r="U116" s="12" t="s">
        <v>61</v>
      </c>
      <c r="V116" s="12" t="s">
        <v>683</v>
      </c>
    </row>
    <row r="117" spans="1:22" ht="30" x14ac:dyDescent="0.25">
      <c r="A117" s="5" t="s">
        <v>1122</v>
      </c>
      <c r="B117" s="5" t="s">
        <v>1123</v>
      </c>
      <c r="C117" s="8">
        <v>200</v>
      </c>
      <c r="D117" s="6">
        <v>39.5</v>
      </c>
      <c r="E117" s="6">
        <v>22.5</v>
      </c>
      <c r="F117" s="6">
        <v>39.5</v>
      </c>
      <c r="G117" s="6">
        <v>6.5</v>
      </c>
      <c r="H117" s="8">
        <v>1</v>
      </c>
      <c r="I117" s="7" t="s">
        <v>61</v>
      </c>
      <c r="J117" s="5" t="s">
        <v>1163</v>
      </c>
      <c r="K117" s="5" t="s">
        <v>98</v>
      </c>
      <c r="L117" s="5" t="s">
        <v>1165</v>
      </c>
      <c r="M117" s="5" t="s">
        <v>1166</v>
      </c>
      <c r="N117" s="7" t="s">
        <v>63</v>
      </c>
      <c r="O117" s="5"/>
      <c r="P117" s="5" t="s">
        <v>1167</v>
      </c>
      <c r="Q117" s="7" t="s">
        <v>1168</v>
      </c>
      <c r="R117" s="5" t="s">
        <v>1169</v>
      </c>
      <c r="S117" s="12" t="s">
        <v>98</v>
      </c>
      <c r="T117" s="12" t="s">
        <v>99</v>
      </c>
      <c r="U117" s="12" t="s">
        <v>61</v>
      </c>
      <c r="V117" s="12" t="s">
        <v>100</v>
      </c>
    </row>
    <row r="118" spans="1:22" ht="30" x14ac:dyDescent="0.25">
      <c r="A118" s="5" t="s">
        <v>1124</v>
      </c>
      <c r="B118" s="5" t="s">
        <v>1125</v>
      </c>
      <c r="C118" s="8">
        <v>200</v>
      </c>
      <c r="D118" s="6">
        <v>39.5</v>
      </c>
      <c r="E118" s="6">
        <v>22.5</v>
      </c>
      <c r="F118" s="6">
        <v>39.5</v>
      </c>
      <c r="G118" s="6">
        <v>6.5</v>
      </c>
      <c r="H118" s="8">
        <v>1</v>
      </c>
      <c r="I118" s="7" t="s">
        <v>61</v>
      </c>
      <c r="J118" s="5" t="s">
        <v>1163</v>
      </c>
      <c r="K118" s="5" t="s">
        <v>98</v>
      </c>
      <c r="L118" s="5" t="s">
        <v>1165</v>
      </c>
      <c r="M118" s="5" t="s">
        <v>1166</v>
      </c>
      <c r="N118" s="7" t="s">
        <v>63</v>
      </c>
      <c r="O118" s="5"/>
      <c r="P118" s="5" t="s">
        <v>1167</v>
      </c>
      <c r="Q118" s="7" t="s">
        <v>1168</v>
      </c>
      <c r="R118" s="5" t="s">
        <v>1169</v>
      </c>
      <c r="S118" s="12" t="s">
        <v>98</v>
      </c>
      <c r="T118" s="12" t="s">
        <v>99</v>
      </c>
      <c r="U118" s="12" t="s">
        <v>61</v>
      </c>
      <c r="V118" s="12" t="s">
        <v>100</v>
      </c>
    </row>
    <row r="119" spans="1:22" x14ac:dyDescent="0.25">
      <c r="A119" s="5" t="s">
        <v>1390</v>
      </c>
      <c r="B119" s="5" t="s">
        <v>1391</v>
      </c>
      <c r="C119" s="8">
        <v>200</v>
      </c>
      <c r="D119" s="8">
        <v>60</v>
      </c>
      <c r="E119" s="8">
        <v>38</v>
      </c>
      <c r="F119" s="6">
        <v>41.5</v>
      </c>
      <c r="G119" s="6">
        <v>10.7</v>
      </c>
      <c r="H119" s="8">
        <v>1</v>
      </c>
      <c r="I119" s="7" t="s">
        <v>61</v>
      </c>
      <c r="J119" s="5" t="s">
        <v>1163</v>
      </c>
      <c r="K119" s="5" t="s">
        <v>1392</v>
      </c>
      <c r="L119" s="5" t="s">
        <v>1165</v>
      </c>
      <c r="M119" s="5" t="s">
        <v>1166</v>
      </c>
      <c r="N119" s="7" t="s">
        <v>63</v>
      </c>
      <c r="O119" s="5"/>
      <c r="P119" s="5" t="s">
        <v>1167</v>
      </c>
      <c r="Q119" s="7" t="s">
        <v>1168</v>
      </c>
      <c r="R119" s="5" t="s">
        <v>1169</v>
      </c>
      <c r="S119" s="12" t="s">
        <v>1392</v>
      </c>
      <c r="T119" s="12" t="s">
        <v>1393</v>
      </c>
      <c r="U119" s="12" t="s">
        <v>61</v>
      </c>
      <c r="V119" s="12" t="s">
        <v>1394</v>
      </c>
    </row>
    <row r="120" spans="1:22" x14ac:dyDescent="0.25">
      <c r="A120" s="5" t="s">
        <v>1395</v>
      </c>
      <c r="B120" s="5" t="s">
        <v>1396</v>
      </c>
      <c r="C120" s="8">
        <v>100</v>
      </c>
      <c r="D120" s="8">
        <v>52</v>
      </c>
      <c r="E120" s="8">
        <v>42</v>
      </c>
      <c r="F120" s="8">
        <v>42</v>
      </c>
      <c r="G120" s="6">
        <v>9.6</v>
      </c>
      <c r="H120" s="8">
        <v>1</v>
      </c>
      <c r="I120" s="7" t="s">
        <v>61</v>
      </c>
      <c r="J120" s="5" t="s">
        <v>1163</v>
      </c>
      <c r="K120" s="5" t="s">
        <v>1397</v>
      </c>
      <c r="L120" s="5" t="s">
        <v>1165</v>
      </c>
      <c r="M120" s="5" t="s">
        <v>1166</v>
      </c>
      <c r="N120" s="7" t="s">
        <v>63</v>
      </c>
      <c r="O120" s="5"/>
      <c r="P120" s="5" t="s">
        <v>1167</v>
      </c>
      <c r="Q120" s="7" t="s">
        <v>1168</v>
      </c>
      <c r="R120" s="5" t="s">
        <v>1169</v>
      </c>
      <c r="S120" s="12" t="s">
        <v>1397</v>
      </c>
      <c r="T120" s="12" t="s">
        <v>1398</v>
      </c>
      <c r="U120" s="12" t="s">
        <v>61</v>
      </c>
      <c r="V120" s="12" t="s">
        <v>1399</v>
      </c>
    </row>
    <row r="121" spans="1:22" x14ac:dyDescent="0.25">
      <c r="A121" s="5" t="s">
        <v>1400</v>
      </c>
      <c r="B121" s="5" t="s">
        <v>1401</v>
      </c>
      <c r="C121" s="8">
        <v>100</v>
      </c>
      <c r="D121" s="8">
        <v>52</v>
      </c>
      <c r="E121" s="8">
        <v>42</v>
      </c>
      <c r="F121" s="8">
        <v>42</v>
      </c>
      <c r="G121" s="6">
        <v>9.6</v>
      </c>
      <c r="H121" s="8">
        <v>1</v>
      </c>
      <c r="I121" s="7" t="s">
        <v>61</v>
      </c>
      <c r="J121" s="5" t="s">
        <v>1163</v>
      </c>
      <c r="K121" s="5" t="s">
        <v>1397</v>
      </c>
      <c r="L121" s="5" t="s">
        <v>1165</v>
      </c>
      <c r="M121" s="5" t="s">
        <v>1166</v>
      </c>
      <c r="N121" s="7" t="s">
        <v>63</v>
      </c>
      <c r="O121" s="5"/>
      <c r="P121" s="5" t="s">
        <v>1167</v>
      </c>
      <c r="Q121" s="7" t="s">
        <v>1168</v>
      </c>
      <c r="R121" s="5" t="s">
        <v>1169</v>
      </c>
      <c r="S121" s="12" t="s">
        <v>1397</v>
      </c>
      <c r="T121" s="12" t="s">
        <v>1398</v>
      </c>
      <c r="U121" s="12" t="s">
        <v>61</v>
      </c>
      <c r="V121" s="12" t="s">
        <v>1399</v>
      </c>
    </row>
    <row r="122" spans="1:22" x14ac:dyDescent="0.25">
      <c r="A122" s="5" t="s">
        <v>1402</v>
      </c>
      <c r="B122" s="5" t="s">
        <v>1403</v>
      </c>
      <c r="C122" s="8">
        <v>200</v>
      </c>
      <c r="D122" s="8">
        <v>60</v>
      </c>
      <c r="E122" s="8">
        <v>38</v>
      </c>
      <c r="F122" s="6">
        <v>41.5</v>
      </c>
      <c r="G122" s="6">
        <v>10.7</v>
      </c>
      <c r="H122" s="8">
        <v>1</v>
      </c>
      <c r="I122" s="7" t="s">
        <v>61</v>
      </c>
      <c r="J122" s="5" t="s">
        <v>1163</v>
      </c>
      <c r="K122" s="5" t="s">
        <v>1392</v>
      </c>
      <c r="L122" s="5" t="s">
        <v>1165</v>
      </c>
      <c r="M122" s="5" t="s">
        <v>1166</v>
      </c>
      <c r="N122" s="7" t="s">
        <v>63</v>
      </c>
      <c r="O122" s="5"/>
      <c r="P122" s="5" t="s">
        <v>1167</v>
      </c>
      <c r="Q122" s="7" t="s">
        <v>1168</v>
      </c>
      <c r="R122" s="5" t="s">
        <v>1169</v>
      </c>
      <c r="S122" s="12" t="s">
        <v>1392</v>
      </c>
      <c r="T122" s="12" t="s">
        <v>1393</v>
      </c>
      <c r="U122" s="12" t="s">
        <v>61</v>
      </c>
      <c r="V122" s="12" t="s">
        <v>1394</v>
      </c>
    </row>
    <row r="123" spans="1:22" x14ac:dyDescent="0.25">
      <c r="A123" s="5" t="s">
        <v>1404</v>
      </c>
      <c r="B123" s="5" t="s">
        <v>1405</v>
      </c>
      <c r="C123" s="8">
        <v>100</v>
      </c>
      <c r="D123" s="8">
        <v>52</v>
      </c>
      <c r="E123" s="8">
        <v>42</v>
      </c>
      <c r="F123" s="8">
        <v>42</v>
      </c>
      <c r="G123" s="6">
        <v>9.6</v>
      </c>
      <c r="H123" s="8">
        <v>1</v>
      </c>
      <c r="I123" s="7" t="s">
        <v>61</v>
      </c>
      <c r="J123" s="5" t="s">
        <v>1163</v>
      </c>
      <c r="K123" s="5" t="s">
        <v>1397</v>
      </c>
      <c r="L123" s="5" t="s">
        <v>1165</v>
      </c>
      <c r="M123" s="5" t="s">
        <v>1166</v>
      </c>
      <c r="N123" s="7" t="s">
        <v>63</v>
      </c>
      <c r="O123" s="5"/>
      <c r="P123" s="5" t="s">
        <v>1167</v>
      </c>
      <c r="Q123" s="7" t="s">
        <v>1168</v>
      </c>
      <c r="R123" s="5" t="s">
        <v>1169</v>
      </c>
      <c r="S123" s="12" t="s">
        <v>1397</v>
      </c>
      <c r="T123" s="12" t="s">
        <v>1398</v>
      </c>
      <c r="U123" s="12" t="s">
        <v>61</v>
      </c>
      <c r="V123" s="12" t="s">
        <v>1399</v>
      </c>
    </row>
    <row r="124" spans="1:22" x14ac:dyDescent="0.25">
      <c r="A124" s="5" t="s">
        <v>1406</v>
      </c>
      <c r="B124" s="5" t="s">
        <v>1407</v>
      </c>
      <c r="C124" s="8">
        <v>100</v>
      </c>
      <c r="D124" s="8">
        <v>52</v>
      </c>
      <c r="E124" s="8">
        <v>42</v>
      </c>
      <c r="F124" s="8">
        <v>42</v>
      </c>
      <c r="G124" s="6">
        <v>9.6</v>
      </c>
      <c r="H124" s="8">
        <v>1</v>
      </c>
      <c r="I124" s="7" t="s">
        <v>61</v>
      </c>
      <c r="J124" s="5" t="s">
        <v>1163</v>
      </c>
      <c r="K124" s="5" t="s">
        <v>1397</v>
      </c>
      <c r="L124" s="5" t="s">
        <v>1165</v>
      </c>
      <c r="M124" s="5" t="s">
        <v>1166</v>
      </c>
      <c r="N124" s="7" t="s">
        <v>63</v>
      </c>
      <c r="O124" s="5"/>
      <c r="P124" s="5" t="s">
        <v>1167</v>
      </c>
      <c r="Q124" s="7" t="s">
        <v>1168</v>
      </c>
      <c r="R124" s="5" t="s">
        <v>1169</v>
      </c>
      <c r="S124" s="12" t="s">
        <v>1397</v>
      </c>
      <c r="T124" s="12" t="s">
        <v>1398</v>
      </c>
      <c r="U124" s="12" t="s">
        <v>61</v>
      </c>
      <c r="V124" s="12" t="s">
        <v>1399</v>
      </c>
    </row>
    <row r="125" spans="1:22" x14ac:dyDescent="0.25">
      <c r="A125" s="5" t="s">
        <v>1408</v>
      </c>
      <c r="B125" s="5" t="s">
        <v>1409</v>
      </c>
      <c r="C125" s="8">
        <v>200</v>
      </c>
      <c r="D125" s="8">
        <v>60</v>
      </c>
      <c r="E125" s="8">
        <v>38</v>
      </c>
      <c r="F125" s="6">
        <v>41.5</v>
      </c>
      <c r="G125" s="6">
        <v>10.7</v>
      </c>
      <c r="H125" s="8">
        <v>1</v>
      </c>
      <c r="I125" s="7" t="s">
        <v>61</v>
      </c>
      <c r="J125" s="5" t="s">
        <v>1163</v>
      </c>
      <c r="K125" s="5" t="s">
        <v>1392</v>
      </c>
      <c r="L125" s="5" t="s">
        <v>1165</v>
      </c>
      <c r="M125" s="5" t="s">
        <v>1166</v>
      </c>
      <c r="N125" s="7" t="s">
        <v>63</v>
      </c>
      <c r="O125" s="5"/>
      <c r="P125" s="5" t="s">
        <v>1167</v>
      </c>
      <c r="Q125" s="7" t="s">
        <v>1168</v>
      </c>
      <c r="R125" s="5" t="s">
        <v>1169</v>
      </c>
      <c r="S125" s="12" t="s">
        <v>1392</v>
      </c>
      <c r="T125" s="12" t="s">
        <v>1393</v>
      </c>
      <c r="U125" s="12" t="s">
        <v>61</v>
      </c>
      <c r="V125" s="12" t="s">
        <v>1394</v>
      </c>
    </row>
    <row r="126" spans="1:22" x14ac:dyDescent="0.25">
      <c r="A126" s="5" t="s">
        <v>1410</v>
      </c>
      <c r="B126" s="5" t="s">
        <v>1411</v>
      </c>
      <c r="C126" s="8">
        <v>100</v>
      </c>
      <c r="D126" s="8">
        <v>52</v>
      </c>
      <c r="E126" s="8">
        <v>42</v>
      </c>
      <c r="F126" s="8">
        <v>42</v>
      </c>
      <c r="G126" s="6">
        <v>9.6</v>
      </c>
      <c r="H126" s="8">
        <v>1</v>
      </c>
      <c r="I126" s="7" t="s">
        <v>61</v>
      </c>
      <c r="J126" s="5" t="s">
        <v>1163</v>
      </c>
      <c r="K126" s="5" t="s">
        <v>1397</v>
      </c>
      <c r="L126" s="5" t="s">
        <v>1165</v>
      </c>
      <c r="M126" s="5" t="s">
        <v>1166</v>
      </c>
      <c r="N126" s="7" t="s">
        <v>63</v>
      </c>
      <c r="O126" s="5"/>
      <c r="P126" s="5" t="s">
        <v>1167</v>
      </c>
      <c r="Q126" s="7" t="s">
        <v>1168</v>
      </c>
      <c r="R126" s="5" t="s">
        <v>1169</v>
      </c>
      <c r="S126" s="12" t="s">
        <v>1397</v>
      </c>
      <c r="T126" s="12" t="s">
        <v>1398</v>
      </c>
      <c r="U126" s="12" t="s">
        <v>61</v>
      </c>
      <c r="V126" s="12" t="s">
        <v>1399</v>
      </c>
    </row>
    <row r="127" spans="1:22" x14ac:dyDescent="0.25">
      <c r="A127" s="5" t="s">
        <v>1412</v>
      </c>
      <c r="B127" s="5" t="s">
        <v>1413</v>
      </c>
      <c r="C127" s="8">
        <v>100</v>
      </c>
      <c r="D127" s="8">
        <v>52</v>
      </c>
      <c r="E127" s="8">
        <v>42</v>
      </c>
      <c r="F127" s="8">
        <v>42</v>
      </c>
      <c r="G127" s="6">
        <v>9.6</v>
      </c>
      <c r="H127" s="8">
        <v>1</v>
      </c>
      <c r="I127" s="7" t="s">
        <v>61</v>
      </c>
      <c r="J127" s="5" t="s">
        <v>1163</v>
      </c>
      <c r="K127" s="5" t="s">
        <v>1397</v>
      </c>
      <c r="L127" s="5" t="s">
        <v>1165</v>
      </c>
      <c r="M127" s="5" t="s">
        <v>1166</v>
      </c>
      <c r="N127" s="7" t="s">
        <v>63</v>
      </c>
      <c r="O127" s="5"/>
      <c r="P127" s="5" t="s">
        <v>1167</v>
      </c>
      <c r="Q127" s="7" t="s">
        <v>1168</v>
      </c>
      <c r="R127" s="5" t="s">
        <v>1169</v>
      </c>
      <c r="S127" s="12" t="s">
        <v>1397</v>
      </c>
      <c r="T127" s="12" t="s">
        <v>1398</v>
      </c>
      <c r="U127" s="12" t="s">
        <v>61</v>
      </c>
      <c r="V127" s="12" t="s">
        <v>1399</v>
      </c>
    </row>
    <row r="128" spans="1:22" x14ac:dyDescent="0.25">
      <c r="A128" s="5" t="s">
        <v>1414</v>
      </c>
      <c r="B128" s="5" t="s">
        <v>1415</v>
      </c>
      <c r="C128" s="8">
        <v>100</v>
      </c>
      <c r="D128" s="8">
        <v>49</v>
      </c>
      <c r="E128" s="6">
        <v>18.5</v>
      </c>
      <c r="F128" s="8">
        <v>17</v>
      </c>
      <c r="G128" s="6">
        <v>2.9</v>
      </c>
      <c r="H128" s="8">
        <v>1</v>
      </c>
      <c r="I128" s="7" t="s">
        <v>61</v>
      </c>
      <c r="J128" s="5" t="s">
        <v>1163</v>
      </c>
      <c r="K128" s="5" t="s">
        <v>1416</v>
      </c>
      <c r="L128" s="5" t="s">
        <v>1165</v>
      </c>
      <c r="M128" s="5" t="s">
        <v>1166</v>
      </c>
      <c r="N128" s="7" t="s">
        <v>63</v>
      </c>
      <c r="O128" s="5"/>
      <c r="P128" s="5" t="s">
        <v>1167</v>
      </c>
      <c r="Q128" s="7" t="s">
        <v>1168</v>
      </c>
      <c r="R128" s="5" t="s">
        <v>1169</v>
      </c>
      <c r="S128" s="12" t="s">
        <v>1416</v>
      </c>
      <c r="T128" s="12" t="s">
        <v>1417</v>
      </c>
      <c r="U128" s="12" t="s">
        <v>61</v>
      </c>
      <c r="V128" s="12" t="s">
        <v>1418</v>
      </c>
    </row>
    <row r="129" spans="1:22" x14ac:dyDescent="0.25">
      <c r="A129" s="5" t="s">
        <v>1419</v>
      </c>
      <c r="B129" s="5" t="s">
        <v>1420</v>
      </c>
      <c r="C129" s="8">
        <v>100</v>
      </c>
      <c r="D129" s="8">
        <v>49</v>
      </c>
      <c r="E129" s="6">
        <v>18.5</v>
      </c>
      <c r="F129" s="8">
        <v>17</v>
      </c>
      <c r="G129" s="6">
        <v>2.9</v>
      </c>
      <c r="H129" s="8">
        <v>1</v>
      </c>
      <c r="I129" s="7" t="s">
        <v>61</v>
      </c>
      <c r="J129" s="5" t="s">
        <v>1163</v>
      </c>
      <c r="K129" s="5" t="s">
        <v>1416</v>
      </c>
      <c r="L129" s="5" t="s">
        <v>1165</v>
      </c>
      <c r="M129" s="5" t="s">
        <v>1166</v>
      </c>
      <c r="N129" s="7" t="s">
        <v>63</v>
      </c>
      <c r="O129" s="5"/>
      <c r="P129" s="5" t="s">
        <v>1167</v>
      </c>
      <c r="Q129" s="7" t="s">
        <v>1168</v>
      </c>
      <c r="R129" s="5" t="s">
        <v>1169</v>
      </c>
      <c r="S129" s="12" t="s">
        <v>1416</v>
      </c>
      <c r="T129" s="12" t="s">
        <v>1417</v>
      </c>
      <c r="U129" s="12" t="s">
        <v>61</v>
      </c>
      <c r="V129" s="12" t="s">
        <v>1418</v>
      </c>
    </row>
    <row r="130" spans="1:22" ht="30" x14ac:dyDescent="0.25">
      <c r="A130" s="5" t="s">
        <v>101</v>
      </c>
      <c r="B130" s="5" t="s">
        <v>1126</v>
      </c>
      <c r="C130" s="8">
        <v>200</v>
      </c>
      <c r="D130" s="6">
        <v>39.5</v>
      </c>
      <c r="E130" s="6">
        <v>22.5</v>
      </c>
      <c r="F130" s="6">
        <v>39.5</v>
      </c>
      <c r="G130" s="6">
        <v>6.5</v>
      </c>
      <c r="H130" s="8">
        <v>1</v>
      </c>
      <c r="I130" s="7" t="s">
        <v>61</v>
      </c>
      <c r="J130" s="5" t="s">
        <v>1163</v>
      </c>
      <c r="K130" s="5" t="s">
        <v>98</v>
      </c>
      <c r="L130" s="5" t="s">
        <v>1165</v>
      </c>
      <c r="M130" s="5" t="s">
        <v>1166</v>
      </c>
      <c r="N130" s="7" t="s">
        <v>63</v>
      </c>
      <c r="O130" s="5"/>
      <c r="P130" s="5" t="s">
        <v>1167</v>
      </c>
      <c r="Q130" s="7" t="s">
        <v>1168</v>
      </c>
      <c r="R130" s="5" t="s">
        <v>1169</v>
      </c>
      <c r="S130" s="12" t="s">
        <v>98</v>
      </c>
      <c r="T130" s="12" t="s">
        <v>99</v>
      </c>
      <c r="U130" s="12" t="s">
        <v>61</v>
      </c>
      <c r="V130" s="12" t="s">
        <v>100</v>
      </c>
    </row>
    <row r="131" spans="1:22" ht="30" x14ac:dyDescent="0.25">
      <c r="A131" s="5" t="s">
        <v>96</v>
      </c>
      <c r="B131" s="5" t="s">
        <v>97</v>
      </c>
      <c r="C131" s="8">
        <v>200</v>
      </c>
      <c r="D131" s="6">
        <v>39.5</v>
      </c>
      <c r="E131" s="6">
        <v>22.5</v>
      </c>
      <c r="F131" s="6">
        <v>39.5</v>
      </c>
      <c r="G131" s="6">
        <v>6.5</v>
      </c>
      <c r="H131" s="8">
        <v>1</v>
      </c>
      <c r="I131" s="7" t="s">
        <v>61</v>
      </c>
      <c r="J131" s="5" t="s">
        <v>1163</v>
      </c>
      <c r="K131" s="5" t="s">
        <v>98</v>
      </c>
      <c r="L131" s="5" t="s">
        <v>1165</v>
      </c>
      <c r="M131" s="5" t="s">
        <v>1166</v>
      </c>
      <c r="N131" s="7" t="s">
        <v>63</v>
      </c>
      <c r="O131" s="5"/>
      <c r="P131" s="5" t="s">
        <v>1167</v>
      </c>
      <c r="Q131" s="7" t="s">
        <v>1168</v>
      </c>
      <c r="R131" s="5" t="s">
        <v>1169</v>
      </c>
      <c r="S131" s="12" t="s">
        <v>98</v>
      </c>
      <c r="T131" s="12" t="s">
        <v>99</v>
      </c>
      <c r="U131" s="12" t="s">
        <v>61</v>
      </c>
      <c r="V131" s="12" t="s">
        <v>100</v>
      </c>
    </row>
    <row r="132" spans="1:22" ht="30" x14ac:dyDescent="0.25">
      <c r="A132" s="5" t="s">
        <v>691</v>
      </c>
      <c r="B132" s="5" t="s">
        <v>692</v>
      </c>
      <c r="C132" s="8">
        <v>100</v>
      </c>
      <c r="D132" s="6">
        <v>45.5</v>
      </c>
      <c r="E132" s="8">
        <v>37</v>
      </c>
      <c r="F132" s="6">
        <v>32.5</v>
      </c>
      <c r="G132" s="6">
        <v>6.3</v>
      </c>
      <c r="H132" s="8">
        <v>1</v>
      </c>
      <c r="I132" s="7" t="s">
        <v>61</v>
      </c>
      <c r="J132" s="5" t="s">
        <v>1163</v>
      </c>
      <c r="K132" s="5" t="s">
        <v>686</v>
      </c>
      <c r="L132" s="5" t="s">
        <v>1165</v>
      </c>
      <c r="M132" s="5" t="s">
        <v>1166</v>
      </c>
      <c r="N132" s="7" t="s">
        <v>63</v>
      </c>
      <c r="O132" s="5"/>
      <c r="P132" s="5" t="s">
        <v>1167</v>
      </c>
      <c r="Q132" s="7" t="s">
        <v>1168</v>
      </c>
      <c r="R132" s="5" t="s">
        <v>1169</v>
      </c>
      <c r="S132" s="12" t="s">
        <v>686</v>
      </c>
      <c r="T132" s="12" t="s">
        <v>687</v>
      </c>
      <c r="U132" s="12" t="s">
        <v>61</v>
      </c>
      <c r="V132" s="12" t="s">
        <v>688</v>
      </c>
    </row>
    <row r="133" spans="1:22" x14ac:dyDescent="0.25">
      <c r="A133" s="5" t="s">
        <v>1421</v>
      </c>
      <c r="B133" s="5" t="s">
        <v>1422</v>
      </c>
      <c r="C133" s="8">
        <v>100</v>
      </c>
      <c r="D133" s="8">
        <v>43</v>
      </c>
      <c r="E133" s="8">
        <v>37</v>
      </c>
      <c r="F133" s="8">
        <v>30</v>
      </c>
      <c r="G133" s="6">
        <v>5.6</v>
      </c>
      <c r="H133" s="8">
        <v>1</v>
      </c>
      <c r="I133" s="7" t="s">
        <v>61</v>
      </c>
      <c r="J133" s="5" t="s">
        <v>1163</v>
      </c>
      <c r="K133" s="5" t="s">
        <v>1423</v>
      </c>
      <c r="L133" s="5" t="s">
        <v>1165</v>
      </c>
      <c r="M133" s="5" t="s">
        <v>1166</v>
      </c>
      <c r="N133" s="7" t="s">
        <v>63</v>
      </c>
      <c r="O133" s="5"/>
      <c r="P133" s="5" t="s">
        <v>1167</v>
      </c>
      <c r="Q133" s="7" t="s">
        <v>1168</v>
      </c>
      <c r="R133" s="5" t="s">
        <v>1169</v>
      </c>
      <c r="S133" s="12" t="s">
        <v>1423</v>
      </c>
      <c r="T133" s="12" t="s">
        <v>886</v>
      </c>
      <c r="U133" s="12" t="s">
        <v>61</v>
      </c>
      <c r="V133" s="12" t="s">
        <v>1424</v>
      </c>
    </row>
    <row r="134" spans="1:22" x14ac:dyDescent="0.25">
      <c r="A134" s="5" t="s">
        <v>1425</v>
      </c>
      <c r="B134" s="5" t="s">
        <v>1426</v>
      </c>
      <c r="C134" s="8">
        <v>50</v>
      </c>
      <c r="D134" s="8">
        <v>40</v>
      </c>
      <c r="E134" s="8">
        <v>39</v>
      </c>
      <c r="F134" s="6">
        <v>27.5</v>
      </c>
      <c r="G134" s="6">
        <v>5.45</v>
      </c>
      <c r="H134" s="8">
        <v>1</v>
      </c>
      <c r="I134" s="7" t="s">
        <v>61</v>
      </c>
      <c r="J134" s="5" t="s">
        <v>1163</v>
      </c>
      <c r="K134" s="5" t="s">
        <v>1427</v>
      </c>
      <c r="L134" s="5" t="s">
        <v>1165</v>
      </c>
      <c r="M134" s="5" t="s">
        <v>1166</v>
      </c>
      <c r="N134" s="7" t="s">
        <v>63</v>
      </c>
      <c r="O134" s="5"/>
      <c r="P134" s="5" t="s">
        <v>1167</v>
      </c>
      <c r="Q134" s="7" t="s">
        <v>1168</v>
      </c>
      <c r="R134" s="5" t="s">
        <v>1169</v>
      </c>
      <c r="S134" s="12" t="s">
        <v>1427</v>
      </c>
      <c r="T134" s="12" t="s">
        <v>1428</v>
      </c>
      <c r="U134" s="12" t="s">
        <v>61</v>
      </c>
      <c r="V134" s="12" t="s">
        <v>1429</v>
      </c>
    </row>
    <row r="135" spans="1:22" ht="30" x14ac:dyDescent="0.25">
      <c r="A135" s="5" t="s">
        <v>689</v>
      </c>
      <c r="B135" s="5" t="s">
        <v>690</v>
      </c>
      <c r="C135" s="8">
        <v>100</v>
      </c>
      <c r="D135" s="6">
        <v>45.5</v>
      </c>
      <c r="E135" s="8">
        <v>37</v>
      </c>
      <c r="F135" s="6">
        <v>32.5</v>
      </c>
      <c r="G135" s="6">
        <v>6.3</v>
      </c>
      <c r="H135" s="8">
        <v>1</v>
      </c>
      <c r="I135" s="7" t="s">
        <v>61</v>
      </c>
      <c r="J135" s="5" t="s">
        <v>1163</v>
      </c>
      <c r="K135" s="5" t="s">
        <v>686</v>
      </c>
      <c r="L135" s="5" t="s">
        <v>1165</v>
      </c>
      <c r="M135" s="5" t="s">
        <v>1166</v>
      </c>
      <c r="N135" s="7" t="s">
        <v>63</v>
      </c>
      <c r="O135" s="5"/>
      <c r="P135" s="5" t="s">
        <v>1167</v>
      </c>
      <c r="Q135" s="7" t="s">
        <v>1168</v>
      </c>
      <c r="R135" s="5" t="s">
        <v>1169</v>
      </c>
      <c r="S135" s="12" t="s">
        <v>686</v>
      </c>
      <c r="T135" s="12" t="s">
        <v>687</v>
      </c>
      <c r="U135" s="12" t="s">
        <v>61</v>
      </c>
      <c r="V135" s="12" t="s">
        <v>688</v>
      </c>
    </row>
    <row r="136" spans="1:22" x14ac:dyDescent="0.25">
      <c r="A136" s="5" t="s">
        <v>1430</v>
      </c>
      <c r="B136" s="5" t="s">
        <v>1431</v>
      </c>
      <c r="C136" s="8">
        <v>100</v>
      </c>
      <c r="D136" s="8">
        <v>43</v>
      </c>
      <c r="E136" s="8">
        <v>37</v>
      </c>
      <c r="F136" s="8">
        <v>30</v>
      </c>
      <c r="G136" s="6">
        <v>5.6</v>
      </c>
      <c r="H136" s="8">
        <v>1</v>
      </c>
      <c r="I136" s="7" t="s">
        <v>61</v>
      </c>
      <c r="J136" s="5" t="s">
        <v>1163</v>
      </c>
      <c r="K136" s="5" t="s">
        <v>1423</v>
      </c>
      <c r="L136" s="5" t="s">
        <v>1165</v>
      </c>
      <c r="M136" s="5" t="s">
        <v>1166</v>
      </c>
      <c r="N136" s="7" t="s">
        <v>63</v>
      </c>
      <c r="O136" s="5"/>
      <c r="P136" s="5" t="s">
        <v>1167</v>
      </c>
      <c r="Q136" s="7" t="s">
        <v>1168</v>
      </c>
      <c r="R136" s="5" t="s">
        <v>1169</v>
      </c>
      <c r="S136" s="12" t="s">
        <v>1423</v>
      </c>
      <c r="T136" s="12" t="s">
        <v>886</v>
      </c>
      <c r="U136" s="12" t="s">
        <v>61</v>
      </c>
      <c r="V136" s="12" t="s">
        <v>1424</v>
      </c>
    </row>
    <row r="137" spans="1:22" ht="30" x14ac:dyDescent="0.25">
      <c r="A137" s="5" t="s">
        <v>684</v>
      </c>
      <c r="B137" s="5" t="s">
        <v>685</v>
      </c>
      <c r="C137" s="8">
        <v>100</v>
      </c>
      <c r="D137" s="6">
        <v>45.5</v>
      </c>
      <c r="E137" s="8">
        <v>37</v>
      </c>
      <c r="F137" s="6">
        <v>32.5</v>
      </c>
      <c r="G137" s="6">
        <v>6.3</v>
      </c>
      <c r="H137" s="8">
        <v>1</v>
      </c>
      <c r="I137" s="7" t="s">
        <v>61</v>
      </c>
      <c r="J137" s="5" t="s">
        <v>1163</v>
      </c>
      <c r="K137" s="5" t="s">
        <v>686</v>
      </c>
      <c r="L137" s="5" t="s">
        <v>1165</v>
      </c>
      <c r="M137" s="5" t="s">
        <v>1166</v>
      </c>
      <c r="N137" s="7" t="s">
        <v>63</v>
      </c>
      <c r="O137" s="5"/>
      <c r="P137" s="5" t="s">
        <v>1167</v>
      </c>
      <c r="Q137" s="7" t="s">
        <v>1168</v>
      </c>
      <c r="R137" s="5" t="s">
        <v>1169</v>
      </c>
      <c r="S137" s="12" t="s">
        <v>686</v>
      </c>
      <c r="T137" s="12" t="s">
        <v>687</v>
      </c>
      <c r="U137" s="12" t="s">
        <v>61</v>
      </c>
      <c r="V137" s="12" t="s">
        <v>688</v>
      </c>
    </row>
    <row r="138" spans="1:22" ht="30" x14ac:dyDescent="0.25">
      <c r="A138" s="5" t="s">
        <v>693</v>
      </c>
      <c r="B138" s="5" t="s">
        <v>694</v>
      </c>
      <c r="C138" s="8">
        <v>100</v>
      </c>
      <c r="D138" s="6">
        <v>45.5</v>
      </c>
      <c r="E138" s="8">
        <v>37</v>
      </c>
      <c r="F138" s="6">
        <v>32.5</v>
      </c>
      <c r="G138" s="6">
        <v>6.3</v>
      </c>
      <c r="H138" s="8">
        <v>1</v>
      </c>
      <c r="I138" s="7" t="s">
        <v>61</v>
      </c>
      <c r="J138" s="5" t="s">
        <v>1163</v>
      </c>
      <c r="K138" s="5" t="s">
        <v>686</v>
      </c>
      <c r="L138" s="5" t="s">
        <v>1165</v>
      </c>
      <c r="M138" s="5" t="s">
        <v>1166</v>
      </c>
      <c r="N138" s="7" t="s">
        <v>63</v>
      </c>
      <c r="O138" s="5"/>
      <c r="P138" s="5" t="s">
        <v>1167</v>
      </c>
      <c r="Q138" s="7" t="s">
        <v>1168</v>
      </c>
      <c r="R138" s="5" t="s">
        <v>1169</v>
      </c>
      <c r="S138" s="12" t="s">
        <v>686</v>
      </c>
      <c r="T138" s="12" t="s">
        <v>687</v>
      </c>
      <c r="U138" s="12" t="s">
        <v>61</v>
      </c>
      <c r="V138" s="12" t="s">
        <v>688</v>
      </c>
    </row>
    <row r="139" spans="1:22" x14ac:dyDescent="0.25">
      <c r="A139" s="5" t="s">
        <v>1432</v>
      </c>
      <c r="B139" s="5" t="s">
        <v>1433</v>
      </c>
      <c r="C139" s="8">
        <v>100</v>
      </c>
      <c r="D139" s="8">
        <v>43</v>
      </c>
      <c r="E139" s="8">
        <v>37</v>
      </c>
      <c r="F139" s="8">
        <v>30</v>
      </c>
      <c r="G139" s="6">
        <v>5.6</v>
      </c>
      <c r="H139" s="8">
        <v>1</v>
      </c>
      <c r="I139" s="7" t="s">
        <v>61</v>
      </c>
      <c r="J139" s="5" t="s">
        <v>1163</v>
      </c>
      <c r="K139" s="5" t="s">
        <v>1423</v>
      </c>
      <c r="L139" s="5" t="s">
        <v>1165</v>
      </c>
      <c r="M139" s="5" t="s">
        <v>1166</v>
      </c>
      <c r="N139" s="7" t="s">
        <v>63</v>
      </c>
      <c r="O139" s="5"/>
      <c r="P139" s="5" t="s">
        <v>1167</v>
      </c>
      <c r="Q139" s="7" t="s">
        <v>1168</v>
      </c>
      <c r="R139" s="5" t="s">
        <v>1169</v>
      </c>
      <c r="S139" s="12" t="s">
        <v>1423</v>
      </c>
      <c r="T139" s="12" t="s">
        <v>886</v>
      </c>
      <c r="U139" s="12" t="s">
        <v>61</v>
      </c>
      <c r="V139" s="12" t="s">
        <v>1424</v>
      </c>
    </row>
    <row r="140" spans="1:22" x14ac:dyDescent="0.25">
      <c r="A140" s="5" t="s">
        <v>1434</v>
      </c>
      <c r="B140" s="5" t="s">
        <v>1435</v>
      </c>
      <c r="C140" s="8">
        <v>100</v>
      </c>
      <c r="D140" s="8">
        <v>34</v>
      </c>
      <c r="E140" s="8">
        <v>31</v>
      </c>
      <c r="F140" s="8">
        <v>16</v>
      </c>
      <c r="G140" s="6">
        <v>3.9</v>
      </c>
      <c r="H140" s="8">
        <v>1</v>
      </c>
      <c r="I140" s="7" t="s">
        <v>61</v>
      </c>
      <c r="J140" s="5" t="s">
        <v>1163</v>
      </c>
      <c r="K140" s="5" t="s">
        <v>1436</v>
      </c>
      <c r="L140" s="5" t="s">
        <v>1165</v>
      </c>
      <c r="M140" s="5" t="s">
        <v>1166</v>
      </c>
      <c r="N140" s="7" t="s">
        <v>63</v>
      </c>
      <c r="O140" s="5"/>
      <c r="P140" s="5" t="s">
        <v>1167</v>
      </c>
      <c r="Q140" s="7" t="s">
        <v>1168</v>
      </c>
      <c r="R140" s="5" t="s">
        <v>1169</v>
      </c>
      <c r="S140" s="12" t="s">
        <v>1436</v>
      </c>
      <c r="T140" s="12" t="s">
        <v>861</v>
      </c>
      <c r="U140" s="12" t="s">
        <v>61</v>
      </c>
      <c r="V140" s="12" t="s">
        <v>1437</v>
      </c>
    </row>
    <row r="141" spans="1:22" x14ac:dyDescent="0.25">
      <c r="A141" s="5" t="s">
        <v>1438</v>
      </c>
      <c r="B141" s="5" t="s">
        <v>1439</v>
      </c>
      <c r="C141" s="8">
        <v>50</v>
      </c>
      <c r="D141" s="8">
        <v>34</v>
      </c>
      <c r="E141" s="8">
        <v>31</v>
      </c>
      <c r="F141" s="8">
        <v>16</v>
      </c>
      <c r="G141" s="6">
        <v>3.9</v>
      </c>
      <c r="H141" s="8">
        <v>1</v>
      </c>
      <c r="I141" s="7" t="s">
        <v>61</v>
      </c>
      <c r="J141" s="5" t="s">
        <v>1163</v>
      </c>
      <c r="K141" s="5" t="s">
        <v>1436</v>
      </c>
      <c r="L141" s="5" t="s">
        <v>1165</v>
      </c>
      <c r="M141" s="5" t="s">
        <v>1166</v>
      </c>
      <c r="N141" s="7" t="s">
        <v>63</v>
      </c>
      <c r="O141" s="5"/>
      <c r="P141" s="5" t="s">
        <v>1167</v>
      </c>
      <c r="Q141" s="7" t="s">
        <v>1168</v>
      </c>
      <c r="R141" s="5" t="s">
        <v>1169</v>
      </c>
      <c r="S141" s="12" t="s">
        <v>1436</v>
      </c>
      <c r="T141" s="12" t="s">
        <v>861</v>
      </c>
      <c r="U141" s="12" t="s">
        <v>61</v>
      </c>
      <c r="V141" s="12" t="s">
        <v>1440</v>
      </c>
    </row>
    <row r="142" spans="1:22" x14ac:dyDescent="0.25">
      <c r="A142" s="5" t="s">
        <v>1441</v>
      </c>
      <c r="B142" s="5" t="s">
        <v>533</v>
      </c>
      <c r="C142" s="8">
        <v>180</v>
      </c>
      <c r="D142" s="8">
        <v>51</v>
      </c>
      <c r="E142" s="8">
        <v>49</v>
      </c>
      <c r="F142" s="8">
        <v>40</v>
      </c>
      <c r="G142" s="6">
        <v>9.4</v>
      </c>
      <c r="H142" s="8">
        <v>1</v>
      </c>
      <c r="I142" s="7" t="s">
        <v>61</v>
      </c>
      <c r="J142" s="5" t="s">
        <v>1163</v>
      </c>
      <c r="K142" s="5" t="s">
        <v>1442</v>
      </c>
      <c r="L142" s="5" t="s">
        <v>1165</v>
      </c>
      <c r="M142" s="5" t="s">
        <v>1166</v>
      </c>
      <c r="N142" s="7" t="s">
        <v>63</v>
      </c>
      <c r="O142" s="5"/>
      <c r="P142" s="5" t="s">
        <v>1167</v>
      </c>
      <c r="Q142" s="7" t="s">
        <v>1168</v>
      </c>
      <c r="R142" s="5" t="s">
        <v>1169</v>
      </c>
      <c r="S142" s="12" t="s">
        <v>1442</v>
      </c>
      <c r="T142" s="12" t="s">
        <v>1443</v>
      </c>
      <c r="U142" s="12" t="s">
        <v>61</v>
      </c>
      <c r="V142" s="12" t="s">
        <v>1444</v>
      </c>
    </row>
    <row r="143" spans="1:22" x14ac:dyDescent="0.25">
      <c r="A143" s="5" t="s">
        <v>1445</v>
      </c>
      <c r="B143" s="5" t="s">
        <v>531</v>
      </c>
      <c r="C143" s="8">
        <v>180</v>
      </c>
      <c r="D143" s="8">
        <v>51</v>
      </c>
      <c r="E143" s="8">
        <v>49</v>
      </c>
      <c r="F143" s="8">
        <v>40</v>
      </c>
      <c r="G143" s="6">
        <v>9.4</v>
      </c>
      <c r="H143" s="8">
        <v>1</v>
      </c>
      <c r="I143" s="7" t="s">
        <v>61</v>
      </c>
      <c r="J143" s="5" t="s">
        <v>1163</v>
      </c>
      <c r="K143" s="5" t="s">
        <v>1442</v>
      </c>
      <c r="L143" s="5" t="s">
        <v>1165</v>
      </c>
      <c r="M143" s="5" t="s">
        <v>1166</v>
      </c>
      <c r="N143" s="7" t="s">
        <v>63</v>
      </c>
      <c r="O143" s="5"/>
      <c r="P143" s="5" t="s">
        <v>1167</v>
      </c>
      <c r="Q143" s="7" t="s">
        <v>1168</v>
      </c>
      <c r="R143" s="5" t="s">
        <v>1169</v>
      </c>
      <c r="S143" s="12" t="s">
        <v>1442</v>
      </c>
      <c r="T143" s="12" t="s">
        <v>1443</v>
      </c>
      <c r="U143" s="12" t="s">
        <v>61</v>
      </c>
      <c r="V143" s="12" t="s">
        <v>1444</v>
      </c>
    </row>
    <row r="144" spans="1:22" x14ac:dyDescent="0.25">
      <c r="A144" s="5" t="s">
        <v>1446</v>
      </c>
      <c r="B144" s="5" t="s">
        <v>534</v>
      </c>
      <c r="C144" s="8">
        <v>180</v>
      </c>
      <c r="D144" s="8">
        <v>51</v>
      </c>
      <c r="E144" s="8">
        <v>49</v>
      </c>
      <c r="F144" s="8">
        <v>40</v>
      </c>
      <c r="G144" s="6">
        <v>9.4</v>
      </c>
      <c r="H144" s="8">
        <v>1</v>
      </c>
      <c r="I144" s="7" t="s">
        <v>61</v>
      </c>
      <c r="J144" s="5" t="s">
        <v>1163</v>
      </c>
      <c r="K144" s="5" t="s">
        <v>1442</v>
      </c>
      <c r="L144" s="5" t="s">
        <v>1165</v>
      </c>
      <c r="M144" s="5" t="s">
        <v>1166</v>
      </c>
      <c r="N144" s="7" t="s">
        <v>63</v>
      </c>
      <c r="O144" s="5"/>
      <c r="P144" s="5" t="s">
        <v>1167</v>
      </c>
      <c r="Q144" s="7" t="s">
        <v>1168</v>
      </c>
      <c r="R144" s="5" t="s">
        <v>1169</v>
      </c>
      <c r="S144" s="12" t="s">
        <v>1442</v>
      </c>
      <c r="T144" s="12" t="s">
        <v>1443</v>
      </c>
      <c r="U144" s="12" t="s">
        <v>61</v>
      </c>
      <c r="V144" s="12" t="s">
        <v>1444</v>
      </c>
    </row>
    <row r="145" spans="1:22" x14ac:dyDescent="0.25">
      <c r="A145" s="5" t="s">
        <v>695</v>
      </c>
      <c r="B145" s="5" t="s">
        <v>696</v>
      </c>
      <c r="C145" s="8">
        <v>20</v>
      </c>
      <c r="D145" s="8">
        <v>55</v>
      </c>
      <c r="E145" s="8">
        <v>48</v>
      </c>
      <c r="F145" s="6">
        <v>15.5</v>
      </c>
      <c r="G145" s="6">
        <v>14.7</v>
      </c>
      <c r="H145" s="8">
        <v>1</v>
      </c>
      <c r="I145" s="7" t="s">
        <v>61</v>
      </c>
      <c r="J145" s="5" t="s">
        <v>1163</v>
      </c>
      <c r="K145" s="5" t="s">
        <v>697</v>
      </c>
      <c r="L145" s="5" t="s">
        <v>1165</v>
      </c>
      <c r="M145" s="5" t="s">
        <v>1166</v>
      </c>
      <c r="N145" s="7" t="s">
        <v>63</v>
      </c>
      <c r="O145" s="5"/>
      <c r="P145" s="5" t="s">
        <v>1167</v>
      </c>
      <c r="Q145" s="7" t="s">
        <v>1168</v>
      </c>
      <c r="R145" s="5" t="s">
        <v>1169</v>
      </c>
      <c r="S145" s="12" t="s">
        <v>697</v>
      </c>
      <c r="T145" s="12" t="s">
        <v>698</v>
      </c>
      <c r="U145" s="12" t="s">
        <v>61</v>
      </c>
      <c r="V145" s="12" t="s">
        <v>699</v>
      </c>
    </row>
    <row r="146" spans="1:22" x14ac:dyDescent="0.25">
      <c r="A146" s="5" t="s">
        <v>1447</v>
      </c>
      <c r="B146" s="5" t="s">
        <v>1448</v>
      </c>
      <c r="C146" s="8">
        <v>252</v>
      </c>
      <c r="D146" s="8">
        <v>48</v>
      </c>
      <c r="E146" s="8">
        <v>39</v>
      </c>
      <c r="F146" s="8">
        <v>34</v>
      </c>
      <c r="G146" s="6">
        <v>16.25</v>
      </c>
      <c r="H146" s="8">
        <v>1</v>
      </c>
      <c r="I146" s="7" t="s">
        <v>61</v>
      </c>
      <c r="J146" s="5" t="s">
        <v>1163</v>
      </c>
      <c r="K146" s="5" t="s">
        <v>1449</v>
      </c>
      <c r="L146" s="5" t="s">
        <v>1165</v>
      </c>
      <c r="M146" s="5" t="s">
        <v>1166</v>
      </c>
      <c r="N146" s="7" t="s">
        <v>63</v>
      </c>
      <c r="O146" s="5"/>
      <c r="P146" s="5" t="s">
        <v>1167</v>
      </c>
      <c r="Q146" s="7" t="s">
        <v>1168</v>
      </c>
      <c r="R146" s="5" t="s">
        <v>1169</v>
      </c>
      <c r="S146" s="12" t="s">
        <v>1449</v>
      </c>
      <c r="T146" s="12" t="s">
        <v>829</v>
      </c>
      <c r="U146" s="12" t="s">
        <v>61</v>
      </c>
      <c r="V146" s="12" t="s">
        <v>1450</v>
      </c>
    </row>
    <row r="147" spans="1:22" x14ac:dyDescent="0.25">
      <c r="A147" s="5" t="s">
        <v>1451</v>
      </c>
      <c r="B147" s="5" t="s">
        <v>1452</v>
      </c>
      <c r="C147" s="8">
        <v>438</v>
      </c>
      <c r="D147" s="6">
        <v>47.5</v>
      </c>
      <c r="E147" s="8">
        <v>38</v>
      </c>
      <c r="F147" s="8">
        <v>34</v>
      </c>
      <c r="G147" s="6">
        <v>16.2</v>
      </c>
      <c r="H147" s="8">
        <v>1</v>
      </c>
      <c r="I147" s="7" t="s">
        <v>61</v>
      </c>
      <c r="J147" s="5" t="s">
        <v>1163</v>
      </c>
      <c r="K147" s="5" t="s">
        <v>1453</v>
      </c>
      <c r="L147" s="5" t="s">
        <v>1165</v>
      </c>
      <c r="M147" s="5" t="s">
        <v>1166</v>
      </c>
      <c r="N147" s="7" t="s">
        <v>63</v>
      </c>
      <c r="O147" s="5"/>
      <c r="P147" s="5" t="s">
        <v>1167</v>
      </c>
      <c r="Q147" s="7" t="s">
        <v>1168</v>
      </c>
      <c r="R147" s="5" t="s">
        <v>1169</v>
      </c>
      <c r="S147" s="12" t="s">
        <v>1453</v>
      </c>
      <c r="T147" s="12" t="s">
        <v>1454</v>
      </c>
      <c r="U147" s="12" t="s">
        <v>61</v>
      </c>
      <c r="V147" s="12" t="s">
        <v>1455</v>
      </c>
    </row>
    <row r="148" spans="1:22" x14ac:dyDescent="0.25">
      <c r="A148" s="5" t="s">
        <v>1456</v>
      </c>
      <c r="B148" s="5" t="s">
        <v>1457</v>
      </c>
      <c r="C148" s="8">
        <v>100</v>
      </c>
      <c r="D148" s="8">
        <v>55</v>
      </c>
      <c r="E148" s="8">
        <v>42</v>
      </c>
      <c r="F148" s="6">
        <v>40.5</v>
      </c>
      <c r="G148" s="6">
        <v>9.1</v>
      </c>
      <c r="H148" s="8">
        <v>1</v>
      </c>
      <c r="I148" s="7" t="s">
        <v>61</v>
      </c>
      <c r="J148" s="5" t="s">
        <v>1163</v>
      </c>
      <c r="K148" s="5" t="s">
        <v>1458</v>
      </c>
      <c r="L148" s="5" t="s">
        <v>1165</v>
      </c>
      <c r="M148" s="5" t="s">
        <v>1166</v>
      </c>
      <c r="N148" s="7" t="s">
        <v>63</v>
      </c>
      <c r="O148" s="5"/>
      <c r="P148" s="5" t="s">
        <v>1167</v>
      </c>
      <c r="Q148" s="7" t="s">
        <v>1168</v>
      </c>
      <c r="R148" s="5" t="s">
        <v>1169</v>
      </c>
      <c r="S148" s="12" t="s">
        <v>1458</v>
      </c>
      <c r="T148" s="12" t="s">
        <v>1459</v>
      </c>
      <c r="U148" s="12" t="s">
        <v>61</v>
      </c>
      <c r="V148" s="12" t="s">
        <v>1460</v>
      </c>
    </row>
    <row r="149" spans="1:22" x14ac:dyDescent="0.25">
      <c r="A149" s="5" t="s">
        <v>1461</v>
      </c>
      <c r="B149" s="5" t="s">
        <v>1462</v>
      </c>
      <c r="C149" s="8">
        <v>100</v>
      </c>
      <c r="D149" s="8">
        <v>55</v>
      </c>
      <c r="E149" s="8">
        <v>42</v>
      </c>
      <c r="F149" s="6">
        <v>40.5</v>
      </c>
      <c r="G149" s="6">
        <v>9.1</v>
      </c>
      <c r="H149" s="8">
        <v>1</v>
      </c>
      <c r="I149" s="7" t="s">
        <v>61</v>
      </c>
      <c r="J149" s="5" t="s">
        <v>1163</v>
      </c>
      <c r="K149" s="5" t="s">
        <v>1458</v>
      </c>
      <c r="L149" s="5" t="s">
        <v>1165</v>
      </c>
      <c r="M149" s="5" t="s">
        <v>1166</v>
      </c>
      <c r="N149" s="7" t="s">
        <v>63</v>
      </c>
      <c r="O149" s="5"/>
      <c r="P149" s="5" t="s">
        <v>1167</v>
      </c>
      <c r="Q149" s="7" t="s">
        <v>1168</v>
      </c>
      <c r="R149" s="5" t="s">
        <v>1169</v>
      </c>
      <c r="S149" s="12" t="s">
        <v>1458</v>
      </c>
      <c r="T149" s="12" t="s">
        <v>1459</v>
      </c>
      <c r="U149" s="12" t="s">
        <v>61</v>
      </c>
      <c r="V149" s="12" t="s">
        <v>1460</v>
      </c>
    </row>
    <row r="150" spans="1:22" x14ac:dyDescent="0.25">
      <c r="A150" s="5" t="s">
        <v>1463</v>
      </c>
      <c r="B150" s="5" t="s">
        <v>1464</v>
      </c>
      <c r="C150" s="8">
        <v>100</v>
      </c>
      <c r="D150" s="8">
        <v>55</v>
      </c>
      <c r="E150" s="8">
        <v>42</v>
      </c>
      <c r="F150" s="6">
        <v>40.5</v>
      </c>
      <c r="G150" s="6">
        <v>9.1</v>
      </c>
      <c r="H150" s="8">
        <v>1</v>
      </c>
      <c r="I150" s="7" t="s">
        <v>61</v>
      </c>
      <c r="J150" s="5" t="s">
        <v>1163</v>
      </c>
      <c r="K150" s="5" t="s">
        <v>1458</v>
      </c>
      <c r="L150" s="5" t="s">
        <v>1165</v>
      </c>
      <c r="M150" s="5" t="s">
        <v>1166</v>
      </c>
      <c r="N150" s="7" t="s">
        <v>63</v>
      </c>
      <c r="O150" s="5"/>
      <c r="P150" s="5" t="s">
        <v>1167</v>
      </c>
      <c r="Q150" s="7" t="s">
        <v>1168</v>
      </c>
      <c r="R150" s="5" t="s">
        <v>1169</v>
      </c>
      <c r="S150" s="12" t="s">
        <v>1458</v>
      </c>
      <c r="T150" s="12" t="s">
        <v>1459</v>
      </c>
      <c r="U150" s="12" t="s">
        <v>61</v>
      </c>
      <c r="V150" s="12" t="s">
        <v>1460</v>
      </c>
    </row>
    <row r="151" spans="1:22" x14ac:dyDescent="0.25">
      <c r="A151" s="5" t="s">
        <v>1465</v>
      </c>
      <c r="B151" s="5" t="s">
        <v>1466</v>
      </c>
      <c r="C151" s="8">
        <v>100</v>
      </c>
      <c r="D151" s="8">
        <v>55</v>
      </c>
      <c r="E151" s="8">
        <v>42</v>
      </c>
      <c r="F151" s="6">
        <v>40.5</v>
      </c>
      <c r="G151" s="6">
        <v>9.1</v>
      </c>
      <c r="H151" s="8">
        <v>1</v>
      </c>
      <c r="I151" s="7" t="s">
        <v>61</v>
      </c>
      <c r="J151" s="5" t="s">
        <v>1163</v>
      </c>
      <c r="K151" s="5" t="s">
        <v>1458</v>
      </c>
      <c r="L151" s="5" t="s">
        <v>1165</v>
      </c>
      <c r="M151" s="5" t="s">
        <v>1166</v>
      </c>
      <c r="N151" s="7" t="s">
        <v>63</v>
      </c>
      <c r="O151" s="5"/>
      <c r="P151" s="5" t="s">
        <v>1167</v>
      </c>
      <c r="Q151" s="7" t="s">
        <v>1168</v>
      </c>
      <c r="R151" s="5" t="s">
        <v>1169</v>
      </c>
      <c r="S151" s="12" t="s">
        <v>1458</v>
      </c>
      <c r="T151" s="12" t="s">
        <v>1459</v>
      </c>
      <c r="U151" s="12" t="s">
        <v>61</v>
      </c>
      <c r="V151" s="12" t="s">
        <v>1460</v>
      </c>
    </row>
    <row r="152" spans="1:22" ht="30" x14ac:dyDescent="0.25">
      <c r="A152" s="5" t="s">
        <v>1467</v>
      </c>
      <c r="B152" s="5" t="s">
        <v>563</v>
      </c>
      <c r="C152" s="8">
        <v>100</v>
      </c>
      <c r="D152" s="6">
        <v>43.5</v>
      </c>
      <c r="E152" s="6">
        <v>36.5</v>
      </c>
      <c r="F152" s="6">
        <v>30.5</v>
      </c>
      <c r="G152" s="6">
        <v>16.899999999999999</v>
      </c>
      <c r="H152" s="8">
        <v>1</v>
      </c>
      <c r="I152" s="7" t="s">
        <v>61</v>
      </c>
      <c r="J152" s="5" t="s">
        <v>1163</v>
      </c>
      <c r="K152" s="5" t="s">
        <v>1468</v>
      </c>
      <c r="L152" s="5" t="s">
        <v>1165</v>
      </c>
      <c r="M152" s="5" t="s">
        <v>1166</v>
      </c>
      <c r="N152" s="7" t="s">
        <v>63</v>
      </c>
      <c r="O152" s="5"/>
      <c r="P152" s="5" t="s">
        <v>1167</v>
      </c>
      <c r="Q152" s="7" t="s">
        <v>1168</v>
      </c>
      <c r="R152" s="5" t="s">
        <v>1169</v>
      </c>
      <c r="S152" s="12" t="s">
        <v>1468</v>
      </c>
      <c r="T152" s="12" t="s">
        <v>1469</v>
      </c>
      <c r="U152" s="12" t="s">
        <v>61</v>
      </c>
      <c r="V152" s="12" t="s">
        <v>1470</v>
      </c>
    </row>
    <row r="153" spans="1:22" x14ac:dyDescent="0.25">
      <c r="A153" s="5" t="s">
        <v>1471</v>
      </c>
      <c r="B153" s="5" t="s">
        <v>1472</v>
      </c>
      <c r="C153" s="8">
        <v>100</v>
      </c>
      <c r="D153" s="8">
        <v>34</v>
      </c>
      <c r="E153" s="8">
        <v>31</v>
      </c>
      <c r="F153" s="8">
        <v>16</v>
      </c>
      <c r="G153" s="6">
        <v>3.6</v>
      </c>
      <c r="H153" s="8">
        <v>1</v>
      </c>
      <c r="I153" s="7" t="s">
        <v>61</v>
      </c>
      <c r="J153" s="5" t="s">
        <v>1163</v>
      </c>
      <c r="K153" s="5" t="s">
        <v>1473</v>
      </c>
      <c r="L153" s="5" t="s">
        <v>1165</v>
      </c>
      <c r="M153" s="5" t="s">
        <v>1166</v>
      </c>
      <c r="N153" s="7" t="s">
        <v>63</v>
      </c>
      <c r="O153" s="5"/>
      <c r="P153" s="5" t="s">
        <v>1167</v>
      </c>
      <c r="Q153" s="7" t="s">
        <v>1168</v>
      </c>
      <c r="R153" s="5" t="s">
        <v>1169</v>
      </c>
      <c r="S153" s="12" t="s">
        <v>1473</v>
      </c>
      <c r="T153" s="12" t="s">
        <v>861</v>
      </c>
      <c r="U153" s="12" t="s">
        <v>61</v>
      </c>
      <c r="V153" s="12" t="s">
        <v>1474</v>
      </c>
    </row>
    <row r="154" spans="1:22" x14ac:dyDescent="0.25">
      <c r="A154" s="5" t="s">
        <v>987</v>
      </c>
      <c r="B154" s="5" t="s">
        <v>1475</v>
      </c>
      <c r="C154" s="8">
        <v>45</v>
      </c>
      <c r="D154" s="8">
        <v>45</v>
      </c>
      <c r="E154" s="8">
        <v>37</v>
      </c>
      <c r="F154" s="8">
        <v>32</v>
      </c>
      <c r="G154" s="6">
        <v>10.5</v>
      </c>
      <c r="H154" s="8">
        <v>1</v>
      </c>
      <c r="I154" s="7" t="s">
        <v>61</v>
      </c>
      <c r="J154" s="5" t="s">
        <v>1163</v>
      </c>
      <c r="K154" s="5" t="s">
        <v>989</v>
      </c>
      <c r="L154" s="5" t="s">
        <v>1165</v>
      </c>
      <c r="M154" s="5" t="s">
        <v>1166</v>
      </c>
      <c r="N154" s="7" t="s">
        <v>63</v>
      </c>
      <c r="O154" s="5"/>
      <c r="P154" s="5" t="s">
        <v>1167</v>
      </c>
      <c r="Q154" s="7" t="s">
        <v>1168</v>
      </c>
      <c r="R154" s="5" t="s">
        <v>1169</v>
      </c>
      <c r="S154" s="12" t="s">
        <v>989</v>
      </c>
      <c r="T154" s="12" t="s">
        <v>813</v>
      </c>
      <c r="U154" s="12" t="s">
        <v>61</v>
      </c>
      <c r="V154" s="12" t="s">
        <v>990</v>
      </c>
    </row>
    <row r="155" spans="1:22" ht="30" x14ac:dyDescent="0.25">
      <c r="A155" s="5" t="s">
        <v>1476</v>
      </c>
      <c r="B155" s="5" t="s">
        <v>567</v>
      </c>
      <c r="C155" s="8">
        <v>50</v>
      </c>
      <c r="D155" s="8">
        <v>43</v>
      </c>
      <c r="E155" s="6">
        <v>41.5</v>
      </c>
      <c r="F155" s="6">
        <v>37.5</v>
      </c>
      <c r="G155" s="6">
        <v>7.55</v>
      </c>
      <c r="H155" s="8">
        <v>1</v>
      </c>
      <c r="I155" s="7" t="s">
        <v>61</v>
      </c>
      <c r="J155" s="5" t="s">
        <v>1163</v>
      </c>
      <c r="K155" s="5" t="s">
        <v>1477</v>
      </c>
      <c r="L155" s="5" t="s">
        <v>1165</v>
      </c>
      <c r="M155" s="5" t="s">
        <v>1166</v>
      </c>
      <c r="N155" s="7" t="s">
        <v>63</v>
      </c>
      <c r="O155" s="5"/>
      <c r="P155" s="5" t="s">
        <v>1167</v>
      </c>
      <c r="Q155" s="7" t="s">
        <v>1168</v>
      </c>
      <c r="R155" s="5" t="s">
        <v>1169</v>
      </c>
      <c r="S155" s="12" t="s">
        <v>1477</v>
      </c>
      <c r="T155" s="12" t="s">
        <v>1478</v>
      </c>
      <c r="U155" s="12" t="s">
        <v>61</v>
      </c>
      <c r="V155" s="12" t="s">
        <v>1479</v>
      </c>
    </row>
    <row r="156" spans="1:22" x14ac:dyDescent="0.25">
      <c r="A156" s="5" t="s">
        <v>1480</v>
      </c>
      <c r="B156" s="5" t="s">
        <v>579</v>
      </c>
      <c r="C156" s="8">
        <v>100</v>
      </c>
      <c r="D156" s="8">
        <v>41</v>
      </c>
      <c r="E156" s="8">
        <v>31</v>
      </c>
      <c r="F156" s="8">
        <v>40</v>
      </c>
      <c r="G156" s="6">
        <v>5.7</v>
      </c>
      <c r="H156" s="8">
        <v>1</v>
      </c>
      <c r="I156" s="7" t="s">
        <v>61</v>
      </c>
      <c r="J156" s="5" t="s">
        <v>1163</v>
      </c>
      <c r="K156" s="5" t="s">
        <v>1481</v>
      </c>
      <c r="L156" s="5" t="s">
        <v>1165</v>
      </c>
      <c r="M156" s="5" t="s">
        <v>1166</v>
      </c>
      <c r="N156" s="7" t="s">
        <v>63</v>
      </c>
      <c r="O156" s="5"/>
      <c r="P156" s="5" t="s">
        <v>1167</v>
      </c>
      <c r="Q156" s="7" t="s">
        <v>1168</v>
      </c>
      <c r="R156" s="5" t="s">
        <v>1169</v>
      </c>
      <c r="S156" s="12" t="s">
        <v>1481</v>
      </c>
      <c r="T156" s="12" t="s">
        <v>1482</v>
      </c>
      <c r="U156" s="12" t="s">
        <v>61</v>
      </c>
      <c r="V156" s="12" t="s">
        <v>1483</v>
      </c>
    </row>
    <row r="157" spans="1:22" x14ac:dyDescent="0.25">
      <c r="A157" s="5" t="s">
        <v>1484</v>
      </c>
      <c r="B157" s="5" t="s">
        <v>573</v>
      </c>
      <c r="C157" s="8">
        <v>100</v>
      </c>
      <c r="D157" s="8">
        <v>41</v>
      </c>
      <c r="E157" s="8">
        <v>31</v>
      </c>
      <c r="F157" s="8">
        <v>40</v>
      </c>
      <c r="G157" s="6">
        <v>5.7</v>
      </c>
      <c r="H157" s="8">
        <v>1</v>
      </c>
      <c r="I157" s="7" t="s">
        <v>61</v>
      </c>
      <c r="J157" s="5" t="s">
        <v>1163</v>
      </c>
      <c r="K157" s="5" t="s">
        <v>1481</v>
      </c>
      <c r="L157" s="5" t="s">
        <v>1165</v>
      </c>
      <c r="M157" s="5" t="s">
        <v>1166</v>
      </c>
      <c r="N157" s="7" t="s">
        <v>63</v>
      </c>
      <c r="O157" s="5"/>
      <c r="P157" s="5" t="s">
        <v>1167</v>
      </c>
      <c r="Q157" s="7" t="s">
        <v>1168</v>
      </c>
      <c r="R157" s="5" t="s">
        <v>1169</v>
      </c>
      <c r="S157" s="12" t="s">
        <v>1481</v>
      </c>
      <c r="T157" s="12" t="s">
        <v>1482</v>
      </c>
      <c r="U157" s="12" t="s">
        <v>61</v>
      </c>
      <c r="V157" s="12" t="s">
        <v>1483</v>
      </c>
    </row>
    <row r="158" spans="1:22" x14ac:dyDescent="0.25">
      <c r="A158" s="5" t="s">
        <v>1485</v>
      </c>
      <c r="B158" s="5" t="s">
        <v>577</v>
      </c>
      <c r="C158" s="8">
        <v>100</v>
      </c>
      <c r="D158" s="8">
        <v>41</v>
      </c>
      <c r="E158" s="8">
        <v>31</v>
      </c>
      <c r="F158" s="8">
        <v>40</v>
      </c>
      <c r="G158" s="6">
        <v>5.7</v>
      </c>
      <c r="H158" s="8">
        <v>1</v>
      </c>
      <c r="I158" s="7" t="s">
        <v>61</v>
      </c>
      <c r="J158" s="5" t="s">
        <v>1163</v>
      </c>
      <c r="K158" s="5" t="s">
        <v>1481</v>
      </c>
      <c r="L158" s="5" t="s">
        <v>1165</v>
      </c>
      <c r="M158" s="5" t="s">
        <v>1166</v>
      </c>
      <c r="N158" s="7" t="s">
        <v>63</v>
      </c>
      <c r="O158" s="5"/>
      <c r="P158" s="5" t="s">
        <v>1167</v>
      </c>
      <c r="Q158" s="7" t="s">
        <v>1168</v>
      </c>
      <c r="R158" s="5" t="s">
        <v>1169</v>
      </c>
      <c r="S158" s="12" t="s">
        <v>1481</v>
      </c>
      <c r="T158" s="12" t="s">
        <v>1482</v>
      </c>
      <c r="U158" s="12" t="s">
        <v>61</v>
      </c>
      <c r="V158" s="12" t="s">
        <v>1483</v>
      </c>
    </row>
    <row r="159" spans="1:22" x14ac:dyDescent="0.25">
      <c r="A159" s="5" t="s">
        <v>1486</v>
      </c>
      <c r="B159" s="5" t="s">
        <v>571</v>
      </c>
      <c r="C159" s="8">
        <v>100</v>
      </c>
      <c r="D159" s="8">
        <v>41</v>
      </c>
      <c r="E159" s="8">
        <v>31</v>
      </c>
      <c r="F159" s="8">
        <v>40</v>
      </c>
      <c r="G159" s="6">
        <v>5.7</v>
      </c>
      <c r="H159" s="8">
        <v>1</v>
      </c>
      <c r="I159" s="7" t="s">
        <v>61</v>
      </c>
      <c r="J159" s="5" t="s">
        <v>1163</v>
      </c>
      <c r="K159" s="5" t="s">
        <v>1481</v>
      </c>
      <c r="L159" s="5" t="s">
        <v>1165</v>
      </c>
      <c r="M159" s="5" t="s">
        <v>1166</v>
      </c>
      <c r="N159" s="7" t="s">
        <v>63</v>
      </c>
      <c r="O159" s="5"/>
      <c r="P159" s="5" t="s">
        <v>1167</v>
      </c>
      <c r="Q159" s="7" t="s">
        <v>1168</v>
      </c>
      <c r="R159" s="5" t="s">
        <v>1169</v>
      </c>
      <c r="S159" s="12" t="s">
        <v>1481</v>
      </c>
      <c r="T159" s="12" t="s">
        <v>1482</v>
      </c>
      <c r="U159" s="12" t="s">
        <v>61</v>
      </c>
      <c r="V159" s="12" t="s">
        <v>1483</v>
      </c>
    </row>
    <row r="160" spans="1:22" x14ac:dyDescent="0.25">
      <c r="A160" s="5" t="s">
        <v>1487</v>
      </c>
      <c r="B160" s="5" t="s">
        <v>581</v>
      </c>
      <c r="C160" s="8">
        <v>100</v>
      </c>
      <c r="D160" s="8">
        <v>41</v>
      </c>
      <c r="E160" s="8">
        <v>31</v>
      </c>
      <c r="F160" s="8">
        <v>40</v>
      </c>
      <c r="G160" s="6">
        <v>5.7</v>
      </c>
      <c r="H160" s="8">
        <v>1</v>
      </c>
      <c r="I160" s="7" t="s">
        <v>61</v>
      </c>
      <c r="J160" s="5" t="s">
        <v>1163</v>
      </c>
      <c r="K160" s="5" t="s">
        <v>1481</v>
      </c>
      <c r="L160" s="5" t="s">
        <v>1165</v>
      </c>
      <c r="M160" s="5" t="s">
        <v>1166</v>
      </c>
      <c r="N160" s="7" t="s">
        <v>63</v>
      </c>
      <c r="O160" s="5"/>
      <c r="P160" s="5" t="s">
        <v>1167</v>
      </c>
      <c r="Q160" s="7" t="s">
        <v>1168</v>
      </c>
      <c r="R160" s="5" t="s">
        <v>1169</v>
      </c>
      <c r="S160" s="12" t="s">
        <v>1481</v>
      </c>
      <c r="T160" s="12" t="s">
        <v>1482</v>
      </c>
      <c r="U160" s="12" t="s">
        <v>61</v>
      </c>
      <c r="V160" s="12" t="s">
        <v>1483</v>
      </c>
    </row>
    <row r="161" spans="1:22" x14ac:dyDescent="0.25">
      <c r="A161" s="5" t="s">
        <v>1488</v>
      </c>
      <c r="B161" s="5" t="s">
        <v>575</v>
      </c>
      <c r="C161" s="8">
        <v>100</v>
      </c>
      <c r="D161" s="8">
        <v>41</v>
      </c>
      <c r="E161" s="8">
        <v>31</v>
      </c>
      <c r="F161" s="8">
        <v>40</v>
      </c>
      <c r="G161" s="6">
        <v>5.7</v>
      </c>
      <c r="H161" s="8">
        <v>1</v>
      </c>
      <c r="I161" s="7" t="s">
        <v>61</v>
      </c>
      <c r="J161" s="5" t="s">
        <v>1163</v>
      </c>
      <c r="K161" s="5" t="s">
        <v>1481</v>
      </c>
      <c r="L161" s="5" t="s">
        <v>1165</v>
      </c>
      <c r="M161" s="5" t="s">
        <v>1166</v>
      </c>
      <c r="N161" s="7" t="s">
        <v>63</v>
      </c>
      <c r="O161" s="5"/>
      <c r="P161" s="5" t="s">
        <v>1167</v>
      </c>
      <c r="Q161" s="7" t="s">
        <v>1168</v>
      </c>
      <c r="R161" s="5" t="s">
        <v>1169</v>
      </c>
      <c r="S161" s="12" t="s">
        <v>1481</v>
      </c>
      <c r="T161" s="12" t="s">
        <v>1482</v>
      </c>
      <c r="U161" s="12" t="s">
        <v>61</v>
      </c>
      <c r="V161" s="12" t="s">
        <v>1483</v>
      </c>
    </row>
    <row r="162" spans="1:22" x14ac:dyDescent="0.25">
      <c r="A162" s="5" t="s">
        <v>1489</v>
      </c>
      <c r="B162" s="5" t="s">
        <v>1490</v>
      </c>
      <c r="C162" s="8">
        <v>100</v>
      </c>
      <c r="D162" s="8">
        <v>41</v>
      </c>
      <c r="E162" s="8">
        <v>31</v>
      </c>
      <c r="F162" s="8">
        <v>40</v>
      </c>
      <c r="G162" s="6">
        <v>5.7</v>
      </c>
      <c r="H162" s="8">
        <v>1</v>
      </c>
      <c r="I162" s="7" t="s">
        <v>61</v>
      </c>
      <c r="J162" s="5" t="s">
        <v>1163</v>
      </c>
      <c r="K162" s="5" t="s">
        <v>1481</v>
      </c>
      <c r="L162" s="5" t="s">
        <v>1165</v>
      </c>
      <c r="M162" s="5" t="s">
        <v>1166</v>
      </c>
      <c r="N162" s="7" t="s">
        <v>63</v>
      </c>
      <c r="O162" s="5"/>
      <c r="P162" s="5" t="s">
        <v>1167</v>
      </c>
      <c r="Q162" s="7" t="s">
        <v>1168</v>
      </c>
      <c r="R162" s="5" t="s">
        <v>1169</v>
      </c>
      <c r="S162" s="12" t="s">
        <v>1481</v>
      </c>
      <c r="T162" s="12" t="s">
        <v>1482</v>
      </c>
      <c r="U162" s="12" t="s">
        <v>61</v>
      </c>
      <c r="V162" s="12" t="s">
        <v>1483</v>
      </c>
    </row>
    <row r="163" spans="1:22" x14ac:dyDescent="0.25">
      <c r="A163" s="5" t="s">
        <v>1491</v>
      </c>
      <c r="B163" s="5" t="s">
        <v>1492</v>
      </c>
      <c r="C163" s="8">
        <v>100</v>
      </c>
      <c r="D163" s="8">
        <v>41</v>
      </c>
      <c r="E163" s="8">
        <v>31</v>
      </c>
      <c r="F163" s="8">
        <v>40</v>
      </c>
      <c r="G163" s="6">
        <v>5.7</v>
      </c>
      <c r="H163" s="8">
        <v>1</v>
      </c>
      <c r="I163" s="7" t="s">
        <v>61</v>
      </c>
      <c r="J163" s="5" t="s">
        <v>1163</v>
      </c>
      <c r="K163" s="5" t="s">
        <v>1481</v>
      </c>
      <c r="L163" s="5" t="s">
        <v>1165</v>
      </c>
      <c r="M163" s="5" t="s">
        <v>1166</v>
      </c>
      <c r="N163" s="7" t="s">
        <v>63</v>
      </c>
      <c r="O163" s="5"/>
      <c r="P163" s="5" t="s">
        <v>1167</v>
      </c>
      <c r="Q163" s="7" t="s">
        <v>1168</v>
      </c>
      <c r="R163" s="5" t="s">
        <v>1169</v>
      </c>
      <c r="S163" s="12" t="s">
        <v>1481</v>
      </c>
      <c r="T163" s="12" t="s">
        <v>1482</v>
      </c>
      <c r="U163" s="12" t="s">
        <v>61</v>
      </c>
      <c r="V163" s="12" t="s">
        <v>1483</v>
      </c>
    </row>
    <row r="164" spans="1:22" x14ac:dyDescent="0.25">
      <c r="A164" s="5" t="s">
        <v>1015</v>
      </c>
      <c r="B164" s="5" t="s">
        <v>1016</v>
      </c>
      <c r="C164" s="8">
        <v>100</v>
      </c>
      <c r="D164" s="8">
        <v>46</v>
      </c>
      <c r="E164" s="8">
        <v>37</v>
      </c>
      <c r="F164" s="8">
        <v>32</v>
      </c>
      <c r="G164" s="6">
        <v>5.8</v>
      </c>
      <c r="H164" s="8">
        <v>1</v>
      </c>
      <c r="I164" s="7" t="s">
        <v>61</v>
      </c>
      <c r="J164" s="5" t="s">
        <v>1163</v>
      </c>
      <c r="K164" s="5" t="s">
        <v>1017</v>
      </c>
      <c r="L164" s="5" t="s">
        <v>1165</v>
      </c>
      <c r="M164" s="5" t="s">
        <v>1166</v>
      </c>
      <c r="N164" s="7" t="s">
        <v>63</v>
      </c>
      <c r="O164" s="5"/>
      <c r="P164" s="5" t="s">
        <v>1167</v>
      </c>
      <c r="Q164" s="7" t="s">
        <v>1168</v>
      </c>
      <c r="R164" s="5" t="s">
        <v>1169</v>
      </c>
      <c r="S164" s="12" t="s">
        <v>1017</v>
      </c>
      <c r="T164" s="12" t="s">
        <v>739</v>
      </c>
      <c r="U164" s="12" t="s">
        <v>61</v>
      </c>
      <c r="V164" s="12" t="s">
        <v>1018</v>
      </c>
    </row>
    <row r="165" spans="1:22" x14ac:dyDescent="0.25">
      <c r="A165" s="5" t="s">
        <v>1493</v>
      </c>
      <c r="B165" s="5" t="s">
        <v>1494</v>
      </c>
      <c r="C165" s="8">
        <v>100</v>
      </c>
      <c r="D165" s="8">
        <v>43</v>
      </c>
      <c r="E165" s="8">
        <v>37</v>
      </c>
      <c r="F165" s="8">
        <v>29</v>
      </c>
      <c r="G165" s="6">
        <v>5.6</v>
      </c>
      <c r="H165" s="8">
        <v>1</v>
      </c>
      <c r="I165" s="7" t="s">
        <v>61</v>
      </c>
      <c r="J165" s="5" t="s">
        <v>1163</v>
      </c>
      <c r="K165" s="5" t="s">
        <v>1021</v>
      </c>
      <c r="L165" s="5" t="s">
        <v>1165</v>
      </c>
      <c r="M165" s="5" t="s">
        <v>1166</v>
      </c>
      <c r="N165" s="7" t="s">
        <v>63</v>
      </c>
      <c r="O165" s="5"/>
      <c r="P165" s="5" t="s">
        <v>1167</v>
      </c>
      <c r="Q165" s="7" t="s">
        <v>1168</v>
      </c>
      <c r="R165" s="5" t="s">
        <v>1169</v>
      </c>
      <c r="S165" s="12" t="s">
        <v>1021</v>
      </c>
      <c r="T165" s="12" t="s">
        <v>673</v>
      </c>
      <c r="U165" s="12" t="s">
        <v>61</v>
      </c>
      <c r="V165" s="12" t="s">
        <v>1022</v>
      </c>
    </row>
    <row r="166" spans="1:22" x14ac:dyDescent="0.25">
      <c r="A166" s="5" t="s">
        <v>1019</v>
      </c>
      <c r="B166" s="5" t="s">
        <v>1020</v>
      </c>
      <c r="C166" s="8">
        <v>100</v>
      </c>
      <c r="D166" s="8">
        <v>43</v>
      </c>
      <c r="E166" s="8">
        <v>37</v>
      </c>
      <c r="F166" s="8">
        <v>29</v>
      </c>
      <c r="G166" s="6">
        <v>5.6</v>
      </c>
      <c r="H166" s="8">
        <v>1</v>
      </c>
      <c r="I166" s="7" t="s">
        <v>61</v>
      </c>
      <c r="J166" s="5" t="s">
        <v>1163</v>
      </c>
      <c r="K166" s="5" t="s">
        <v>1021</v>
      </c>
      <c r="L166" s="5" t="s">
        <v>1165</v>
      </c>
      <c r="M166" s="5" t="s">
        <v>1166</v>
      </c>
      <c r="N166" s="7" t="s">
        <v>63</v>
      </c>
      <c r="O166" s="5"/>
      <c r="P166" s="5" t="s">
        <v>1167</v>
      </c>
      <c r="Q166" s="7" t="s">
        <v>1168</v>
      </c>
      <c r="R166" s="5" t="s">
        <v>1169</v>
      </c>
      <c r="S166" s="12" t="s">
        <v>1021</v>
      </c>
      <c r="T166" s="12" t="s">
        <v>673</v>
      </c>
      <c r="U166" s="12" t="s">
        <v>61</v>
      </c>
      <c r="V166" s="12" t="s">
        <v>1022</v>
      </c>
    </row>
    <row r="167" spans="1:22" ht="30" x14ac:dyDescent="0.25">
      <c r="A167" s="5" t="s">
        <v>1495</v>
      </c>
      <c r="B167" s="5" t="s">
        <v>1496</v>
      </c>
      <c r="C167" s="8">
        <v>50</v>
      </c>
      <c r="D167" s="6">
        <v>41.5</v>
      </c>
      <c r="E167" s="8">
        <v>38</v>
      </c>
      <c r="F167" s="6">
        <v>18.5</v>
      </c>
      <c r="G167" s="6">
        <v>3.36</v>
      </c>
      <c r="H167" s="8">
        <v>1</v>
      </c>
      <c r="I167" s="7" t="s">
        <v>61</v>
      </c>
      <c r="J167" s="5" t="s">
        <v>1163</v>
      </c>
      <c r="K167" s="5" t="s">
        <v>1497</v>
      </c>
      <c r="L167" s="5" t="s">
        <v>1165</v>
      </c>
      <c r="M167" s="5" t="s">
        <v>1166</v>
      </c>
      <c r="N167" s="7" t="s">
        <v>63</v>
      </c>
      <c r="O167" s="5"/>
      <c r="P167" s="5" t="s">
        <v>1167</v>
      </c>
      <c r="Q167" s="7" t="s">
        <v>1168</v>
      </c>
      <c r="R167" s="5" t="s">
        <v>1169</v>
      </c>
      <c r="S167" s="12" t="s">
        <v>1497</v>
      </c>
      <c r="T167" s="12" t="s">
        <v>1498</v>
      </c>
      <c r="U167" s="12" t="s">
        <v>61</v>
      </c>
      <c r="V167" s="12" t="s">
        <v>1499</v>
      </c>
    </row>
    <row r="168" spans="1:22" ht="30" x14ac:dyDescent="0.25">
      <c r="A168" s="5" t="s">
        <v>1500</v>
      </c>
      <c r="B168" s="5" t="s">
        <v>1501</v>
      </c>
      <c r="C168" s="8">
        <v>50</v>
      </c>
      <c r="D168" s="6">
        <v>41.5</v>
      </c>
      <c r="E168" s="8">
        <v>38</v>
      </c>
      <c r="F168" s="6">
        <v>18.5</v>
      </c>
      <c r="G168" s="6">
        <v>3.36</v>
      </c>
      <c r="H168" s="8">
        <v>1</v>
      </c>
      <c r="I168" s="7" t="s">
        <v>61</v>
      </c>
      <c r="J168" s="5" t="s">
        <v>1163</v>
      </c>
      <c r="K168" s="5" t="s">
        <v>1497</v>
      </c>
      <c r="L168" s="5" t="s">
        <v>1165</v>
      </c>
      <c r="M168" s="5" t="s">
        <v>1166</v>
      </c>
      <c r="N168" s="7" t="s">
        <v>63</v>
      </c>
      <c r="O168" s="5"/>
      <c r="P168" s="5" t="s">
        <v>1167</v>
      </c>
      <c r="Q168" s="7" t="s">
        <v>1168</v>
      </c>
      <c r="R168" s="5" t="s">
        <v>1169</v>
      </c>
      <c r="S168" s="12" t="s">
        <v>1497</v>
      </c>
      <c r="T168" s="12" t="s">
        <v>1498</v>
      </c>
      <c r="U168" s="12" t="s">
        <v>61</v>
      </c>
      <c r="V168" s="12" t="s">
        <v>1499</v>
      </c>
    </row>
    <row r="169" spans="1:22" ht="30" x14ac:dyDescent="0.25">
      <c r="A169" s="5" t="s">
        <v>1502</v>
      </c>
      <c r="B169" s="5" t="s">
        <v>1503</v>
      </c>
      <c r="C169" s="8">
        <v>50</v>
      </c>
      <c r="D169" s="6">
        <v>41.5</v>
      </c>
      <c r="E169" s="8">
        <v>38</v>
      </c>
      <c r="F169" s="6">
        <v>18.5</v>
      </c>
      <c r="G169" s="6">
        <v>3.36</v>
      </c>
      <c r="H169" s="8">
        <v>1</v>
      </c>
      <c r="I169" s="7" t="s">
        <v>61</v>
      </c>
      <c r="J169" s="5" t="s">
        <v>1163</v>
      </c>
      <c r="K169" s="5" t="s">
        <v>1497</v>
      </c>
      <c r="L169" s="5" t="s">
        <v>1165</v>
      </c>
      <c r="M169" s="5" t="s">
        <v>1166</v>
      </c>
      <c r="N169" s="7" t="s">
        <v>63</v>
      </c>
      <c r="O169" s="5"/>
      <c r="P169" s="5" t="s">
        <v>1167</v>
      </c>
      <c r="Q169" s="7" t="s">
        <v>1168</v>
      </c>
      <c r="R169" s="5" t="s">
        <v>1169</v>
      </c>
      <c r="S169" s="12" t="s">
        <v>1497</v>
      </c>
      <c r="T169" s="12" t="s">
        <v>1498</v>
      </c>
      <c r="U169" s="12" t="s">
        <v>61</v>
      </c>
      <c r="V169" s="12" t="s">
        <v>1499</v>
      </c>
    </row>
    <row r="170" spans="1:22" ht="30" x14ac:dyDescent="0.25">
      <c r="A170" s="5" t="s">
        <v>1504</v>
      </c>
      <c r="B170" s="5" t="s">
        <v>1505</v>
      </c>
      <c r="C170" s="8">
        <v>50</v>
      </c>
      <c r="D170" s="6">
        <v>41.5</v>
      </c>
      <c r="E170" s="8">
        <v>38</v>
      </c>
      <c r="F170" s="6">
        <v>18.5</v>
      </c>
      <c r="G170" s="6">
        <v>3.36</v>
      </c>
      <c r="H170" s="8">
        <v>1</v>
      </c>
      <c r="I170" s="7" t="s">
        <v>61</v>
      </c>
      <c r="J170" s="5" t="s">
        <v>1163</v>
      </c>
      <c r="K170" s="5" t="s">
        <v>1497</v>
      </c>
      <c r="L170" s="5" t="s">
        <v>1165</v>
      </c>
      <c r="M170" s="5" t="s">
        <v>1166</v>
      </c>
      <c r="N170" s="7" t="s">
        <v>63</v>
      </c>
      <c r="O170" s="5"/>
      <c r="P170" s="5" t="s">
        <v>1167</v>
      </c>
      <c r="Q170" s="7" t="s">
        <v>1168</v>
      </c>
      <c r="R170" s="5" t="s">
        <v>1169</v>
      </c>
      <c r="S170" s="12" t="s">
        <v>1497</v>
      </c>
      <c r="T170" s="12" t="s">
        <v>1498</v>
      </c>
      <c r="U170" s="12" t="s">
        <v>61</v>
      </c>
      <c r="V170" s="12" t="s">
        <v>1499</v>
      </c>
    </row>
    <row r="171" spans="1:22" ht="30" x14ac:dyDescent="0.25">
      <c r="A171" s="5" t="s">
        <v>1506</v>
      </c>
      <c r="B171" s="5" t="s">
        <v>1507</v>
      </c>
      <c r="C171" s="8">
        <v>50</v>
      </c>
      <c r="D171" s="6">
        <v>41.5</v>
      </c>
      <c r="E171" s="8">
        <v>38</v>
      </c>
      <c r="F171" s="6">
        <v>18.5</v>
      </c>
      <c r="G171" s="6">
        <v>3.36</v>
      </c>
      <c r="H171" s="8">
        <v>1</v>
      </c>
      <c r="I171" s="7" t="s">
        <v>61</v>
      </c>
      <c r="J171" s="5" t="s">
        <v>1163</v>
      </c>
      <c r="K171" s="5" t="s">
        <v>1497</v>
      </c>
      <c r="L171" s="5" t="s">
        <v>1165</v>
      </c>
      <c r="M171" s="5" t="s">
        <v>1166</v>
      </c>
      <c r="N171" s="7" t="s">
        <v>63</v>
      </c>
      <c r="O171" s="5"/>
      <c r="P171" s="5" t="s">
        <v>1167</v>
      </c>
      <c r="Q171" s="7" t="s">
        <v>1168</v>
      </c>
      <c r="R171" s="5" t="s">
        <v>1169</v>
      </c>
      <c r="S171" s="12" t="s">
        <v>1497</v>
      </c>
      <c r="T171" s="12" t="s">
        <v>1498</v>
      </c>
      <c r="U171" s="12" t="s">
        <v>61</v>
      </c>
      <c r="V171" s="12" t="s">
        <v>1499</v>
      </c>
    </row>
    <row r="172" spans="1:22" ht="30" x14ac:dyDescent="0.25">
      <c r="A172" s="5" t="s">
        <v>1508</v>
      </c>
      <c r="B172" s="5" t="s">
        <v>605</v>
      </c>
      <c r="C172" s="8">
        <v>50</v>
      </c>
      <c r="D172" s="6">
        <v>41.5</v>
      </c>
      <c r="E172" s="8">
        <v>38</v>
      </c>
      <c r="F172" s="6">
        <v>18.5</v>
      </c>
      <c r="G172" s="6">
        <v>3.36</v>
      </c>
      <c r="H172" s="8">
        <v>1</v>
      </c>
      <c r="I172" s="7" t="s">
        <v>61</v>
      </c>
      <c r="J172" s="5" t="s">
        <v>1163</v>
      </c>
      <c r="K172" s="5" t="s">
        <v>1497</v>
      </c>
      <c r="L172" s="5" t="s">
        <v>1165</v>
      </c>
      <c r="M172" s="5" t="s">
        <v>1166</v>
      </c>
      <c r="N172" s="7" t="s">
        <v>63</v>
      </c>
      <c r="O172" s="5"/>
      <c r="P172" s="5" t="s">
        <v>1167</v>
      </c>
      <c r="Q172" s="7" t="s">
        <v>1168</v>
      </c>
      <c r="R172" s="5" t="s">
        <v>1169</v>
      </c>
      <c r="S172" s="12" t="s">
        <v>1497</v>
      </c>
      <c r="T172" s="12" t="s">
        <v>1498</v>
      </c>
      <c r="U172" s="12" t="s">
        <v>61</v>
      </c>
      <c r="V172" s="12" t="s">
        <v>1499</v>
      </c>
    </row>
    <row r="173" spans="1:22" ht="30" x14ac:dyDescent="0.25">
      <c r="A173" s="5" t="s">
        <v>1509</v>
      </c>
      <c r="B173" s="5" t="s">
        <v>1510</v>
      </c>
      <c r="C173" s="8">
        <v>50</v>
      </c>
      <c r="D173" s="6">
        <v>41.5</v>
      </c>
      <c r="E173" s="8">
        <v>38</v>
      </c>
      <c r="F173" s="6">
        <v>18.5</v>
      </c>
      <c r="G173" s="6">
        <v>3.36</v>
      </c>
      <c r="H173" s="8">
        <v>1</v>
      </c>
      <c r="I173" s="7" t="s">
        <v>61</v>
      </c>
      <c r="J173" s="5" t="s">
        <v>1163</v>
      </c>
      <c r="K173" s="5" t="s">
        <v>1497</v>
      </c>
      <c r="L173" s="5" t="s">
        <v>1165</v>
      </c>
      <c r="M173" s="5" t="s">
        <v>1166</v>
      </c>
      <c r="N173" s="7" t="s">
        <v>63</v>
      </c>
      <c r="O173" s="5"/>
      <c r="P173" s="5" t="s">
        <v>1167</v>
      </c>
      <c r="Q173" s="7" t="s">
        <v>1168</v>
      </c>
      <c r="R173" s="5" t="s">
        <v>1169</v>
      </c>
      <c r="S173" s="12" t="s">
        <v>1497</v>
      </c>
      <c r="T173" s="12" t="s">
        <v>1498</v>
      </c>
      <c r="U173" s="12" t="s">
        <v>61</v>
      </c>
      <c r="V173" s="12" t="s">
        <v>1499</v>
      </c>
    </row>
    <row r="174" spans="1:22" ht="30" x14ac:dyDescent="0.25">
      <c r="A174" s="5" t="s">
        <v>1511</v>
      </c>
      <c r="B174" s="5" t="s">
        <v>1512</v>
      </c>
      <c r="C174" s="8">
        <v>50</v>
      </c>
      <c r="D174" s="6">
        <v>41.5</v>
      </c>
      <c r="E174" s="8">
        <v>38</v>
      </c>
      <c r="F174" s="6">
        <v>18.5</v>
      </c>
      <c r="G174" s="6">
        <v>3.36</v>
      </c>
      <c r="H174" s="8">
        <v>1</v>
      </c>
      <c r="I174" s="7" t="s">
        <v>61</v>
      </c>
      <c r="J174" s="5" t="s">
        <v>1163</v>
      </c>
      <c r="K174" s="5" t="s">
        <v>1497</v>
      </c>
      <c r="L174" s="5" t="s">
        <v>1165</v>
      </c>
      <c r="M174" s="5" t="s">
        <v>1166</v>
      </c>
      <c r="N174" s="7" t="s">
        <v>63</v>
      </c>
      <c r="O174" s="5"/>
      <c r="P174" s="5" t="s">
        <v>1167</v>
      </c>
      <c r="Q174" s="7" t="s">
        <v>1168</v>
      </c>
      <c r="R174" s="5" t="s">
        <v>1169</v>
      </c>
      <c r="S174" s="12" t="s">
        <v>1497</v>
      </c>
      <c r="T174" s="12" t="s">
        <v>1498</v>
      </c>
      <c r="U174" s="12" t="s">
        <v>61</v>
      </c>
      <c r="V174" s="12" t="s">
        <v>1499</v>
      </c>
    </row>
    <row r="175" spans="1:22" ht="30" x14ac:dyDescent="0.25">
      <c r="A175" s="5" t="s">
        <v>1513</v>
      </c>
      <c r="B175" s="5" t="s">
        <v>1514</v>
      </c>
      <c r="C175" s="8">
        <v>50</v>
      </c>
      <c r="D175" s="6">
        <v>41.5</v>
      </c>
      <c r="E175" s="8">
        <v>38</v>
      </c>
      <c r="F175" s="6">
        <v>18.5</v>
      </c>
      <c r="G175" s="6">
        <v>3.36</v>
      </c>
      <c r="H175" s="8">
        <v>1</v>
      </c>
      <c r="I175" s="7" t="s">
        <v>61</v>
      </c>
      <c r="J175" s="5" t="s">
        <v>1163</v>
      </c>
      <c r="K175" s="5" t="s">
        <v>1497</v>
      </c>
      <c r="L175" s="5" t="s">
        <v>1165</v>
      </c>
      <c r="M175" s="5" t="s">
        <v>1166</v>
      </c>
      <c r="N175" s="7" t="s">
        <v>63</v>
      </c>
      <c r="O175" s="5"/>
      <c r="P175" s="5" t="s">
        <v>1167</v>
      </c>
      <c r="Q175" s="7" t="s">
        <v>1168</v>
      </c>
      <c r="R175" s="5" t="s">
        <v>1169</v>
      </c>
      <c r="S175" s="12" t="s">
        <v>1497</v>
      </c>
      <c r="T175" s="12" t="s">
        <v>1498</v>
      </c>
      <c r="U175" s="12" t="s">
        <v>61</v>
      </c>
      <c r="V175" s="12" t="s">
        <v>1499</v>
      </c>
    </row>
    <row r="176" spans="1:22" ht="30" x14ac:dyDescent="0.25">
      <c r="A176" s="5" t="s">
        <v>1515</v>
      </c>
      <c r="B176" s="5" t="s">
        <v>1516</v>
      </c>
      <c r="C176" s="8">
        <v>100</v>
      </c>
      <c r="D176" s="6">
        <v>48.5</v>
      </c>
      <c r="E176" s="6">
        <v>18.5</v>
      </c>
      <c r="F176" s="8">
        <v>17</v>
      </c>
      <c r="G176" s="6">
        <v>2.9</v>
      </c>
      <c r="H176" s="8">
        <v>1</v>
      </c>
      <c r="I176" s="7" t="s">
        <v>61</v>
      </c>
      <c r="J176" s="5" t="s">
        <v>1163</v>
      </c>
      <c r="K176" s="5" t="s">
        <v>1517</v>
      </c>
      <c r="L176" s="5" t="s">
        <v>1165</v>
      </c>
      <c r="M176" s="5" t="s">
        <v>1166</v>
      </c>
      <c r="N176" s="7" t="s">
        <v>63</v>
      </c>
      <c r="O176" s="5"/>
      <c r="P176" s="5" t="s">
        <v>1167</v>
      </c>
      <c r="Q176" s="7" t="s">
        <v>1168</v>
      </c>
      <c r="R176" s="5" t="s">
        <v>1169</v>
      </c>
      <c r="S176" s="12" t="s">
        <v>1517</v>
      </c>
      <c r="T176" s="12" t="s">
        <v>1518</v>
      </c>
      <c r="U176" s="12" t="s">
        <v>61</v>
      </c>
      <c r="V176" s="12" t="s">
        <v>1519</v>
      </c>
    </row>
    <row r="177" spans="1:22" x14ac:dyDescent="0.25">
      <c r="A177" s="5" t="s">
        <v>1520</v>
      </c>
      <c r="B177" s="5" t="s">
        <v>627</v>
      </c>
      <c r="C177" s="8">
        <v>30</v>
      </c>
      <c r="D177" s="8">
        <v>60</v>
      </c>
      <c r="E177" s="8">
        <v>35</v>
      </c>
      <c r="F177" s="6">
        <v>30.5</v>
      </c>
      <c r="G177" s="6">
        <v>9.6</v>
      </c>
      <c r="H177" s="8">
        <v>1</v>
      </c>
      <c r="I177" s="7" t="s">
        <v>61</v>
      </c>
      <c r="J177" s="5" t="s">
        <v>1163</v>
      </c>
      <c r="K177" s="5" t="s">
        <v>1521</v>
      </c>
      <c r="L177" s="5" t="s">
        <v>1165</v>
      </c>
      <c r="M177" s="5" t="s">
        <v>1166</v>
      </c>
      <c r="N177" s="7" t="s">
        <v>63</v>
      </c>
      <c r="O177" s="5"/>
      <c r="P177" s="5" t="s">
        <v>1167</v>
      </c>
      <c r="Q177" s="7" t="s">
        <v>1168</v>
      </c>
      <c r="R177" s="5" t="s">
        <v>1169</v>
      </c>
      <c r="S177" s="12" t="s">
        <v>1521</v>
      </c>
      <c r="T177" s="12" t="s">
        <v>1522</v>
      </c>
      <c r="U177" s="12" t="s">
        <v>61</v>
      </c>
      <c r="V177" s="12" t="s">
        <v>1523</v>
      </c>
    </row>
    <row r="178" spans="1:22" ht="30" x14ac:dyDescent="0.25">
      <c r="A178" s="5" t="s">
        <v>1524</v>
      </c>
      <c r="B178" s="5" t="s">
        <v>1525</v>
      </c>
      <c r="C178" s="8">
        <v>100</v>
      </c>
      <c r="D178" s="8">
        <v>39</v>
      </c>
      <c r="E178" s="6">
        <v>36.5</v>
      </c>
      <c r="F178" s="6">
        <v>24.5</v>
      </c>
      <c r="G178" s="6">
        <v>4.8</v>
      </c>
      <c r="H178" s="8">
        <v>1</v>
      </c>
      <c r="I178" s="7" t="s">
        <v>61</v>
      </c>
      <c r="J178" s="5" t="s">
        <v>1163</v>
      </c>
      <c r="K178" s="5" t="s">
        <v>1526</v>
      </c>
      <c r="L178" s="5" t="s">
        <v>1165</v>
      </c>
      <c r="M178" s="5" t="s">
        <v>1166</v>
      </c>
      <c r="N178" s="7" t="s">
        <v>63</v>
      </c>
      <c r="O178" s="5"/>
      <c r="P178" s="5" t="s">
        <v>1167</v>
      </c>
      <c r="Q178" s="7" t="s">
        <v>1168</v>
      </c>
      <c r="R178" s="5" t="s">
        <v>1169</v>
      </c>
      <c r="S178" s="12" t="s">
        <v>1526</v>
      </c>
      <c r="T178" s="12" t="s">
        <v>1527</v>
      </c>
      <c r="U178" s="12" t="s">
        <v>61</v>
      </c>
      <c r="V178" s="12" t="s">
        <v>1528</v>
      </c>
    </row>
    <row r="179" spans="1:22" x14ac:dyDescent="0.25">
      <c r="A179" s="5" t="s">
        <v>736</v>
      </c>
      <c r="B179" s="5" t="s">
        <v>1529</v>
      </c>
      <c r="C179" s="8">
        <v>400</v>
      </c>
      <c r="D179" s="8">
        <v>46</v>
      </c>
      <c r="E179" s="8">
        <v>37</v>
      </c>
      <c r="F179" s="8">
        <v>32</v>
      </c>
      <c r="G179" s="8">
        <v>11</v>
      </c>
      <c r="H179" s="8">
        <v>1</v>
      </c>
      <c r="I179" s="7" t="s">
        <v>61</v>
      </c>
      <c r="J179" s="5" t="s">
        <v>1163</v>
      </c>
      <c r="K179" s="5" t="s">
        <v>738</v>
      </c>
      <c r="L179" s="5" t="s">
        <v>1165</v>
      </c>
      <c r="M179" s="5" t="s">
        <v>1166</v>
      </c>
      <c r="N179" s="7" t="s">
        <v>63</v>
      </c>
      <c r="O179" s="5"/>
      <c r="P179" s="5" t="s">
        <v>1167</v>
      </c>
      <c r="Q179" s="7" t="s">
        <v>1168</v>
      </c>
      <c r="R179" s="5" t="s">
        <v>1169</v>
      </c>
      <c r="S179" s="12" t="s">
        <v>738</v>
      </c>
      <c r="T179" s="12" t="s">
        <v>739</v>
      </c>
      <c r="U179" s="12" t="s">
        <v>61</v>
      </c>
      <c r="V179" s="12" t="s">
        <v>740</v>
      </c>
    </row>
    <row r="180" spans="1:22" x14ac:dyDescent="0.25">
      <c r="A180" s="5" t="s">
        <v>1530</v>
      </c>
      <c r="B180" s="5" t="s">
        <v>1531</v>
      </c>
      <c r="C180" s="8">
        <v>50</v>
      </c>
      <c r="D180" s="8">
        <v>39</v>
      </c>
      <c r="E180" s="8">
        <v>25</v>
      </c>
      <c r="F180" s="8">
        <v>22</v>
      </c>
      <c r="G180" s="8">
        <v>7</v>
      </c>
      <c r="H180" s="8">
        <v>1</v>
      </c>
      <c r="I180" s="7" t="s">
        <v>61</v>
      </c>
      <c r="J180" s="5" t="s">
        <v>1163</v>
      </c>
      <c r="K180" s="5" t="s">
        <v>1532</v>
      </c>
      <c r="L180" s="5" t="s">
        <v>1165</v>
      </c>
      <c r="M180" s="5" t="s">
        <v>1166</v>
      </c>
      <c r="N180" s="7" t="s">
        <v>63</v>
      </c>
      <c r="O180" s="5"/>
      <c r="P180" s="5" t="s">
        <v>1167</v>
      </c>
      <c r="Q180" s="7" t="s">
        <v>1168</v>
      </c>
      <c r="R180" s="5" t="s">
        <v>1169</v>
      </c>
      <c r="S180" s="12" t="s">
        <v>1532</v>
      </c>
      <c r="T180" s="12" t="s">
        <v>1201</v>
      </c>
      <c r="U180" s="12" t="s">
        <v>61</v>
      </c>
      <c r="V180" s="12" t="s">
        <v>1533</v>
      </c>
    </row>
    <row r="181" spans="1:22" x14ac:dyDescent="0.25">
      <c r="A181" s="5" t="s">
        <v>1198</v>
      </c>
      <c r="B181" s="5" t="s">
        <v>1534</v>
      </c>
      <c r="C181" s="8">
        <v>50</v>
      </c>
      <c r="D181" s="8">
        <v>43</v>
      </c>
      <c r="E181" s="8">
        <v>34</v>
      </c>
      <c r="F181" s="8">
        <v>29</v>
      </c>
      <c r="G181" s="6">
        <v>10.9</v>
      </c>
      <c r="H181" s="8">
        <v>1</v>
      </c>
      <c r="I181" s="7" t="s">
        <v>61</v>
      </c>
      <c r="J181" s="5" t="s">
        <v>1163</v>
      </c>
      <c r="K181" s="5" t="s">
        <v>1535</v>
      </c>
      <c r="L181" s="5" t="s">
        <v>1165</v>
      </c>
      <c r="M181" s="5" t="s">
        <v>1166</v>
      </c>
      <c r="N181" s="7" t="s">
        <v>63</v>
      </c>
      <c r="O181" s="5"/>
      <c r="P181" s="5" t="s">
        <v>1167</v>
      </c>
      <c r="Q181" s="7" t="s">
        <v>1168</v>
      </c>
      <c r="R181" s="5" t="s">
        <v>1169</v>
      </c>
      <c r="S181" s="12" t="s">
        <v>1535</v>
      </c>
      <c r="T181" s="12" t="s">
        <v>1536</v>
      </c>
      <c r="U181" s="12" t="s">
        <v>61</v>
      </c>
      <c r="V181" s="12" t="s">
        <v>1537</v>
      </c>
    </row>
  </sheetData>
  <mergeCells count="1">
    <mergeCell ref="A1:J1"/>
  </mergeCells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97"/>
  <sheetViews>
    <sheetView workbookViewId="0"/>
  </sheetViews>
  <sheetFormatPr defaultRowHeight="15" x14ac:dyDescent="0.25"/>
  <cols>
    <col min="1" max="1" width="18" style="1" customWidth="1"/>
    <col min="2" max="4" width="12" style="1" customWidth="1"/>
    <col min="5" max="5" width="14" style="1" customWidth="1"/>
    <col min="6" max="6" width="12" style="1" customWidth="1"/>
    <col min="7" max="7" width="14" style="1" customWidth="1"/>
    <col min="8" max="9" width="16" style="1" customWidth="1"/>
    <col min="10" max="10" width="14" style="1" customWidth="1"/>
    <col min="11" max="11" width="36" style="1" customWidth="1"/>
  </cols>
  <sheetData>
    <row r="1" spans="1:11" ht="24" customHeight="1" x14ac:dyDescent="0.25">
      <c r="A1" s="3" t="s">
        <v>1538</v>
      </c>
      <c r="B1" s="3"/>
      <c r="C1" s="3"/>
      <c r="D1" s="3"/>
      <c r="E1" s="3"/>
      <c r="F1" s="3"/>
      <c r="G1" s="3"/>
      <c r="H1" s="3"/>
      <c r="I1" s="3"/>
      <c r="J1" s="3"/>
      <c r="K1" s="3"/>
    </row>
    <row r="3" spans="1:11" ht="32.1" customHeight="1" x14ac:dyDescent="0.25">
      <c r="A3" s="11" t="s">
        <v>1157</v>
      </c>
      <c r="B3" s="11" t="s">
        <v>1065</v>
      </c>
      <c r="C3" s="11" t="s">
        <v>1066</v>
      </c>
      <c r="D3" s="11" t="s">
        <v>1067</v>
      </c>
      <c r="E3" s="11" t="s">
        <v>1539</v>
      </c>
      <c r="F3" s="11" t="s">
        <v>1540</v>
      </c>
      <c r="G3" s="11" t="s">
        <v>1541</v>
      </c>
      <c r="H3" s="11" t="s">
        <v>1158</v>
      </c>
      <c r="I3" s="11" t="s">
        <v>1160</v>
      </c>
      <c r="J3" s="11" t="s">
        <v>1542</v>
      </c>
      <c r="K3" s="11" t="s">
        <v>1543</v>
      </c>
    </row>
    <row r="4" spans="1:11" x14ac:dyDescent="0.25">
      <c r="A4" s="5" t="s">
        <v>1267</v>
      </c>
      <c r="B4" s="8">
        <v>32</v>
      </c>
      <c r="C4" s="8">
        <v>31</v>
      </c>
      <c r="D4" s="8">
        <v>20</v>
      </c>
      <c r="E4" s="6">
        <v>8.3000000000000007</v>
      </c>
      <c r="F4" s="8">
        <v>2</v>
      </c>
      <c r="G4" s="8">
        <v>2</v>
      </c>
      <c r="H4" s="5" t="s">
        <v>1165</v>
      </c>
      <c r="I4" s="7" t="s">
        <v>63</v>
      </c>
      <c r="J4" s="5" t="s">
        <v>1544</v>
      </c>
      <c r="K4" s="5" t="s">
        <v>1545</v>
      </c>
    </row>
    <row r="5" spans="1:11" x14ac:dyDescent="0.25">
      <c r="A5" s="5" t="s">
        <v>1473</v>
      </c>
      <c r="B5" s="8">
        <v>34</v>
      </c>
      <c r="C5" s="8">
        <v>31</v>
      </c>
      <c r="D5" s="8">
        <v>16</v>
      </c>
      <c r="E5" s="6">
        <v>3.6</v>
      </c>
      <c r="F5" s="8">
        <v>1</v>
      </c>
      <c r="G5" s="8">
        <v>1</v>
      </c>
      <c r="H5" s="5" t="s">
        <v>1165</v>
      </c>
      <c r="I5" s="7" t="s">
        <v>63</v>
      </c>
      <c r="J5" s="5" t="s">
        <v>1544</v>
      </c>
      <c r="K5" s="5" t="s">
        <v>1545</v>
      </c>
    </row>
    <row r="6" spans="1:11" x14ac:dyDescent="0.25">
      <c r="A6" s="5" t="s">
        <v>860</v>
      </c>
      <c r="B6" s="8">
        <v>34</v>
      </c>
      <c r="C6" s="8">
        <v>31</v>
      </c>
      <c r="D6" s="8">
        <v>16</v>
      </c>
      <c r="E6" s="6">
        <v>3.74</v>
      </c>
      <c r="F6" s="8">
        <v>2</v>
      </c>
      <c r="G6" s="8">
        <v>2</v>
      </c>
      <c r="H6" s="5" t="s">
        <v>1165</v>
      </c>
      <c r="I6" s="7" t="s">
        <v>63</v>
      </c>
      <c r="J6" s="5" t="s">
        <v>1544</v>
      </c>
      <c r="K6" s="5" t="s">
        <v>1545</v>
      </c>
    </row>
    <row r="7" spans="1:11" x14ac:dyDescent="0.25">
      <c r="A7" s="5" t="s">
        <v>1436</v>
      </c>
      <c r="B7" s="8">
        <v>34</v>
      </c>
      <c r="C7" s="8">
        <v>31</v>
      </c>
      <c r="D7" s="8">
        <v>16</v>
      </c>
      <c r="E7" s="6">
        <v>3.9</v>
      </c>
      <c r="F7" s="8">
        <v>2</v>
      </c>
      <c r="G7" s="8">
        <v>2</v>
      </c>
      <c r="H7" s="5" t="s">
        <v>1165</v>
      </c>
      <c r="I7" s="7" t="s">
        <v>63</v>
      </c>
      <c r="J7" s="5" t="s">
        <v>1544</v>
      </c>
      <c r="K7" s="5" t="s">
        <v>1545</v>
      </c>
    </row>
    <row r="8" spans="1:11" x14ac:dyDescent="0.25">
      <c r="A8" s="5" t="s">
        <v>1164</v>
      </c>
      <c r="B8" s="8">
        <v>37</v>
      </c>
      <c r="C8" s="8">
        <v>37</v>
      </c>
      <c r="D8" s="8">
        <v>32</v>
      </c>
      <c r="E8" s="6">
        <v>4.7</v>
      </c>
      <c r="F8" s="8">
        <v>4</v>
      </c>
      <c r="G8" s="8">
        <v>4</v>
      </c>
      <c r="H8" s="5" t="s">
        <v>1165</v>
      </c>
      <c r="I8" s="7" t="s">
        <v>63</v>
      </c>
      <c r="J8" s="5" t="s">
        <v>1544</v>
      </c>
      <c r="K8" s="5" t="s">
        <v>1545</v>
      </c>
    </row>
    <row r="9" spans="1:11" x14ac:dyDescent="0.25">
      <c r="A9" s="5" t="s">
        <v>1175</v>
      </c>
      <c r="B9" s="8">
        <v>38</v>
      </c>
      <c r="C9" s="8">
        <v>37</v>
      </c>
      <c r="D9" s="6">
        <v>25.5</v>
      </c>
      <c r="E9" s="6">
        <v>4.5</v>
      </c>
      <c r="F9" s="8">
        <v>3</v>
      </c>
      <c r="G9" s="8">
        <v>3</v>
      </c>
      <c r="H9" s="5" t="s">
        <v>1165</v>
      </c>
      <c r="I9" s="7" t="s">
        <v>63</v>
      </c>
      <c r="J9" s="5" t="s">
        <v>1544</v>
      </c>
      <c r="K9" s="5" t="s">
        <v>1545</v>
      </c>
    </row>
    <row r="10" spans="1:11" x14ac:dyDescent="0.25">
      <c r="A10" s="5" t="s">
        <v>1200</v>
      </c>
      <c r="B10" s="8">
        <v>39</v>
      </c>
      <c r="C10" s="8">
        <v>25</v>
      </c>
      <c r="D10" s="8">
        <v>22</v>
      </c>
      <c r="E10" s="6">
        <v>2.5499999999999998</v>
      </c>
      <c r="F10" s="8">
        <v>1</v>
      </c>
      <c r="G10" s="8">
        <v>1</v>
      </c>
      <c r="H10" s="5" t="s">
        <v>1165</v>
      </c>
      <c r="I10" s="7" t="s">
        <v>63</v>
      </c>
      <c r="J10" s="5" t="s">
        <v>1544</v>
      </c>
      <c r="K10" s="5" t="s">
        <v>1545</v>
      </c>
    </row>
    <row r="11" spans="1:11" x14ac:dyDescent="0.25">
      <c r="A11" s="5" t="s">
        <v>1532</v>
      </c>
      <c r="B11" s="8">
        <v>39</v>
      </c>
      <c r="C11" s="8">
        <v>25</v>
      </c>
      <c r="D11" s="8">
        <v>22</v>
      </c>
      <c r="E11" s="8">
        <v>7</v>
      </c>
      <c r="F11" s="8">
        <v>1</v>
      </c>
      <c r="G11" s="8">
        <v>1</v>
      </c>
      <c r="H11" s="5" t="s">
        <v>1165</v>
      </c>
      <c r="I11" s="7" t="s">
        <v>63</v>
      </c>
      <c r="J11" s="5" t="s">
        <v>1544</v>
      </c>
      <c r="K11" s="5" t="s">
        <v>1545</v>
      </c>
    </row>
    <row r="12" spans="1:11" x14ac:dyDescent="0.25">
      <c r="A12" s="5" t="s">
        <v>1526</v>
      </c>
      <c r="B12" s="8">
        <v>39</v>
      </c>
      <c r="C12" s="6">
        <v>36.5</v>
      </c>
      <c r="D12" s="6">
        <v>24.5</v>
      </c>
      <c r="E12" s="6">
        <v>4.8</v>
      </c>
      <c r="F12" s="8">
        <v>1</v>
      </c>
      <c r="G12" s="8">
        <v>1</v>
      </c>
      <c r="H12" s="5" t="s">
        <v>1165</v>
      </c>
      <c r="I12" s="7" t="s">
        <v>63</v>
      </c>
      <c r="J12" s="5" t="s">
        <v>1544</v>
      </c>
      <c r="K12" s="5" t="s">
        <v>1545</v>
      </c>
    </row>
    <row r="13" spans="1:11" x14ac:dyDescent="0.25">
      <c r="A13" s="5" t="s">
        <v>98</v>
      </c>
      <c r="B13" s="6">
        <v>39.5</v>
      </c>
      <c r="C13" s="6">
        <v>22.5</v>
      </c>
      <c r="D13" s="6">
        <v>39.5</v>
      </c>
      <c r="E13" s="6">
        <v>6.5</v>
      </c>
      <c r="F13" s="8">
        <v>6</v>
      </c>
      <c r="G13" s="8">
        <v>6</v>
      </c>
      <c r="H13" s="5" t="s">
        <v>1165</v>
      </c>
      <c r="I13" s="7" t="s">
        <v>63</v>
      </c>
      <c r="J13" s="5" t="s">
        <v>1544</v>
      </c>
      <c r="K13" s="5" t="s">
        <v>1545</v>
      </c>
    </row>
    <row r="14" spans="1:11" x14ac:dyDescent="0.25">
      <c r="A14" s="5" t="s">
        <v>1232</v>
      </c>
      <c r="B14" s="6">
        <v>39.5</v>
      </c>
      <c r="C14" s="6">
        <v>22.5</v>
      </c>
      <c r="D14" s="6">
        <v>39.5</v>
      </c>
      <c r="E14" s="6">
        <v>6.6</v>
      </c>
      <c r="F14" s="8">
        <v>2</v>
      </c>
      <c r="G14" s="8">
        <v>2</v>
      </c>
      <c r="H14" s="5" t="s">
        <v>1165</v>
      </c>
      <c r="I14" s="7" t="s">
        <v>63</v>
      </c>
      <c r="J14" s="5" t="s">
        <v>1544</v>
      </c>
      <c r="K14" s="5" t="s">
        <v>1545</v>
      </c>
    </row>
    <row r="15" spans="1:11" x14ac:dyDescent="0.25">
      <c r="A15" s="5" t="s">
        <v>724</v>
      </c>
      <c r="B15" s="6">
        <v>39.5</v>
      </c>
      <c r="C15" s="6">
        <v>22.5</v>
      </c>
      <c r="D15" s="6">
        <v>39.5</v>
      </c>
      <c r="E15" s="6">
        <v>6.7</v>
      </c>
      <c r="F15" s="8">
        <v>1</v>
      </c>
      <c r="G15" s="8">
        <v>1</v>
      </c>
      <c r="H15" s="5" t="s">
        <v>1165</v>
      </c>
      <c r="I15" s="7" t="s">
        <v>63</v>
      </c>
      <c r="J15" s="5" t="s">
        <v>1544</v>
      </c>
      <c r="K15" s="5" t="s">
        <v>1545</v>
      </c>
    </row>
    <row r="16" spans="1:11" x14ac:dyDescent="0.25">
      <c r="A16" s="5" t="s">
        <v>799</v>
      </c>
      <c r="B16" s="6">
        <v>39.5</v>
      </c>
      <c r="C16" s="6">
        <v>36.5</v>
      </c>
      <c r="D16" s="6">
        <v>24.5</v>
      </c>
      <c r="E16" s="6">
        <v>4.5</v>
      </c>
      <c r="F16" s="8">
        <v>2</v>
      </c>
      <c r="G16" s="8">
        <v>2</v>
      </c>
      <c r="H16" s="5" t="s">
        <v>1165</v>
      </c>
      <c r="I16" s="7" t="s">
        <v>63</v>
      </c>
      <c r="J16" s="5" t="s">
        <v>1544</v>
      </c>
      <c r="K16" s="5" t="s">
        <v>1545</v>
      </c>
    </row>
    <row r="17" spans="1:11" x14ac:dyDescent="0.25">
      <c r="A17" s="5" t="s">
        <v>728</v>
      </c>
      <c r="B17" s="8">
        <v>40</v>
      </c>
      <c r="C17" s="6">
        <v>38.5</v>
      </c>
      <c r="D17" s="6">
        <v>27.5</v>
      </c>
      <c r="E17" s="6">
        <v>5.35</v>
      </c>
      <c r="F17" s="8">
        <v>1</v>
      </c>
      <c r="G17" s="8">
        <v>1</v>
      </c>
      <c r="H17" s="5" t="s">
        <v>1165</v>
      </c>
      <c r="I17" s="7" t="s">
        <v>63</v>
      </c>
      <c r="J17" s="5" t="s">
        <v>1544</v>
      </c>
      <c r="K17" s="5" t="s">
        <v>1545</v>
      </c>
    </row>
    <row r="18" spans="1:11" x14ac:dyDescent="0.25">
      <c r="A18" s="5" t="s">
        <v>817</v>
      </c>
      <c r="B18" s="8">
        <v>40</v>
      </c>
      <c r="C18" s="6">
        <v>38.5</v>
      </c>
      <c r="D18" s="6">
        <v>27.5</v>
      </c>
      <c r="E18" s="6">
        <v>5.45</v>
      </c>
      <c r="F18" s="8">
        <v>1</v>
      </c>
      <c r="G18" s="8">
        <v>1</v>
      </c>
      <c r="H18" s="5" t="s">
        <v>1165</v>
      </c>
      <c r="I18" s="7" t="s">
        <v>63</v>
      </c>
      <c r="J18" s="5" t="s">
        <v>1544</v>
      </c>
      <c r="K18" s="5" t="s">
        <v>1545</v>
      </c>
    </row>
    <row r="19" spans="1:11" x14ac:dyDescent="0.25">
      <c r="A19" s="5" t="s">
        <v>1223</v>
      </c>
      <c r="B19" s="8">
        <v>40</v>
      </c>
      <c r="C19" s="6">
        <v>38.5</v>
      </c>
      <c r="D19" s="6">
        <v>30.5</v>
      </c>
      <c r="E19" s="6">
        <v>4.2</v>
      </c>
      <c r="F19" s="8">
        <v>4</v>
      </c>
      <c r="G19" s="8">
        <v>4</v>
      </c>
      <c r="H19" s="5" t="s">
        <v>1165</v>
      </c>
      <c r="I19" s="7" t="s">
        <v>63</v>
      </c>
      <c r="J19" s="5" t="s">
        <v>1544</v>
      </c>
      <c r="K19" s="5" t="s">
        <v>1545</v>
      </c>
    </row>
    <row r="20" spans="1:11" x14ac:dyDescent="0.25">
      <c r="A20" s="5" t="s">
        <v>1427</v>
      </c>
      <c r="B20" s="8">
        <v>40</v>
      </c>
      <c r="C20" s="8">
        <v>39</v>
      </c>
      <c r="D20" s="6">
        <v>27.5</v>
      </c>
      <c r="E20" s="6">
        <v>5.45</v>
      </c>
      <c r="F20" s="8">
        <v>1</v>
      </c>
      <c r="G20" s="8">
        <v>1</v>
      </c>
      <c r="H20" s="5" t="s">
        <v>1165</v>
      </c>
      <c r="I20" s="7" t="s">
        <v>63</v>
      </c>
      <c r="J20" s="5" t="s">
        <v>1544</v>
      </c>
      <c r="K20" s="5" t="s">
        <v>1545</v>
      </c>
    </row>
    <row r="21" spans="1:11" x14ac:dyDescent="0.25">
      <c r="A21" s="5" t="s">
        <v>1481</v>
      </c>
      <c r="B21" s="8">
        <v>41</v>
      </c>
      <c r="C21" s="8">
        <v>31</v>
      </c>
      <c r="D21" s="8">
        <v>40</v>
      </c>
      <c r="E21" s="6">
        <v>5.7</v>
      </c>
      <c r="F21" s="8">
        <v>8</v>
      </c>
      <c r="G21" s="8">
        <v>8</v>
      </c>
      <c r="H21" s="5" t="s">
        <v>1165</v>
      </c>
      <c r="I21" s="7" t="s">
        <v>63</v>
      </c>
      <c r="J21" s="5" t="s">
        <v>1544</v>
      </c>
      <c r="K21" s="5" t="s">
        <v>1545</v>
      </c>
    </row>
    <row r="22" spans="1:11" x14ac:dyDescent="0.25">
      <c r="A22" s="5" t="s">
        <v>1248</v>
      </c>
      <c r="B22" s="8">
        <v>41</v>
      </c>
      <c r="C22" s="6">
        <v>32.5</v>
      </c>
      <c r="D22" s="8">
        <v>40</v>
      </c>
      <c r="E22" s="6">
        <v>5.5</v>
      </c>
      <c r="F22" s="8">
        <v>4</v>
      </c>
      <c r="G22" s="8">
        <v>4</v>
      </c>
      <c r="H22" s="5" t="s">
        <v>1165</v>
      </c>
      <c r="I22" s="7" t="s">
        <v>63</v>
      </c>
      <c r="J22" s="5" t="s">
        <v>1544</v>
      </c>
      <c r="K22" s="5" t="s">
        <v>1545</v>
      </c>
    </row>
    <row r="23" spans="1:11" x14ac:dyDescent="0.25">
      <c r="A23" s="5" t="s">
        <v>1292</v>
      </c>
      <c r="B23" s="8">
        <v>41</v>
      </c>
      <c r="C23" s="8">
        <v>34</v>
      </c>
      <c r="D23" s="8">
        <v>39</v>
      </c>
      <c r="E23" s="6">
        <v>5.25</v>
      </c>
      <c r="F23" s="8">
        <v>2</v>
      </c>
      <c r="G23" s="8">
        <v>2</v>
      </c>
      <c r="H23" s="5" t="s">
        <v>1165</v>
      </c>
      <c r="I23" s="7" t="s">
        <v>63</v>
      </c>
      <c r="J23" s="5" t="s">
        <v>1544</v>
      </c>
      <c r="K23" s="5" t="s">
        <v>1545</v>
      </c>
    </row>
    <row r="24" spans="1:11" x14ac:dyDescent="0.25">
      <c r="A24" s="5" t="s">
        <v>1257</v>
      </c>
      <c r="B24" s="8">
        <v>41</v>
      </c>
      <c r="C24" s="8">
        <v>37</v>
      </c>
      <c r="D24" s="8">
        <v>17</v>
      </c>
      <c r="E24" s="6">
        <v>7.9</v>
      </c>
      <c r="F24" s="8">
        <v>1</v>
      </c>
      <c r="G24" s="8">
        <v>1</v>
      </c>
      <c r="H24" s="5" t="s">
        <v>1165</v>
      </c>
      <c r="I24" s="7" t="s">
        <v>63</v>
      </c>
      <c r="J24" s="5" t="s">
        <v>1544</v>
      </c>
      <c r="K24" s="5" t="s">
        <v>1545</v>
      </c>
    </row>
    <row r="25" spans="1:11" x14ac:dyDescent="0.25">
      <c r="A25" s="5" t="s">
        <v>1497</v>
      </c>
      <c r="B25" s="6">
        <v>41.5</v>
      </c>
      <c r="C25" s="8">
        <v>38</v>
      </c>
      <c r="D25" s="6">
        <v>18.5</v>
      </c>
      <c r="E25" s="6">
        <v>3.36</v>
      </c>
      <c r="F25" s="8">
        <v>9</v>
      </c>
      <c r="G25" s="8">
        <v>9</v>
      </c>
      <c r="H25" s="5" t="s">
        <v>1165</v>
      </c>
      <c r="I25" s="7" t="s">
        <v>63</v>
      </c>
      <c r="J25" s="5" t="s">
        <v>1544</v>
      </c>
      <c r="K25" s="5" t="s">
        <v>1545</v>
      </c>
    </row>
    <row r="26" spans="1:11" x14ac:dyDescent="0.25">
      <c r="A26" s="5" t="s">
        <v>1378</v>
      </c>
      <c r="B26" s="6">
        <v>41.5</v>
      </c>
      <c r="C26" s="8">
        <v>43</v>
      </c>
      <c r="D26" s="8">
        <v>32</v>
      </c>
      <c r="E26" s="6">
        <v>5.3</v>
      </c>
      <c r="F26" s="8">
        <v>3</v>
      </c>
      <c r="G26" s="8">
        <v>3</v>
      </c>
      <c r="H26" s="5" t="s">
        <v>1165</v>
      </c>
      <c r="I26" s="7" t="s">
        <v>63</v>
      </c>
      <c r="J26" s="5" t="s">
        <v>1544</v>
      </c>
      <c r="K26" s="5" t="s">
        <v>1545</v>
      </c>
    </row>
    <row r="27" spans="1:11" x14ac:dyDescent="0.25">
      <c r="A27" s="5" t="s">
        <v>1359</v>
      </c>
      <c r="B27" s="8">
        <v>43</v>
      </c>
      <c r="C27" s="8">
        <v>34</v>
      </c>
      <c r="D27" s="6">
        <v>28.5</v>
      </c>
      <c r="E27" s="8">
        <v>10</v>
      </c>
      <c r="F27" s="8">
        <v>1</v>
      </c>
      <c r="G27" s="8">
        <v>1</v>
      </c>
      <c r="H27" s="5" t="s">
        <v>1165</v>
      </c>
      <c r="I27" s="7" t="s">
        <v>63</v>
      </c>
      <c r="J27" s="5" t="s">
        <v>1544</v>
      </c>
      <c r="K27" s="5" t="s">
        <v>1545</v>
      </c>
    </row>
    <row r="28" spans="1:11" x14ac:dyDescent="0.25">
      <c r="A28" s="5" t="s">
        <v>1535</v>
      </c>
      <c r="B28" s="8">
        <v>43</v>
      </c>
      <c r="C28" s="8">
        <v>34</v>
      </c>
      <c r="D28" s="8">
        <v>29</v>
      </c>
      <c r="E28" s="6">
        <v>10.9</v>
      </c>
      <c r="F28" s="8">
        <v>1</v>
      </c>
      <c r="G28" s="8">
        <v>1</v>
      </c>
      <c r="H28" s="5" t="s">
        <v>1165</v>
      </c>
      <c r="I28" s="7" t="s">
        <v>63</v>
      </c>
      <c r="J28" s="5" t="s">
        <v>1544</v>
      </c>
      <c r="K28" s="5" t="s">
        <v>1545</v>
      </c>
    </row>
    <row r="29" spans="1:11" x14ac:dyDescent="0.25">
      <c r="A29" s="5" t="s">
        <v>672</v>
      </c>
      <c r="B29" s="8">
        <v>43</v>
      </c>
      <c r="C29" s="8">
        <v>37</v>
      </c>
      <c r="D29" s="8">
        <v>29</v>
      </c>
      <c r="E29" s="6">
        <v>5.5</v>
      </c>
      <c r="F29" s="8">
        <v>2</v>
      </c>
      <c r="G29" s="8">
        <v>2</v>
      </c>
      <c r="H29" s="5" t="s">
        <v>1165</v>
      </c>
      <c r="I29" s="7" t="s">
        <v>63</v>
      </c>
      <c r="J29" s="5" t="s">
        <v>1544</v>
      </c>
      <c r="K29" s="5" t="s">
        <v>1545</v>
      </c>
    </row>
    <row r="30" spans="1:11" x14ac:dyDescent="0.25">
      <c r="A30" s="5" t="s">
        <v>1021</v>
      </c>
      <c r="B30" s="8">
        <v>43</v>
      </c>
      <c r="C30" s="8">
        <v>37</v>
      </c>
      <c r="D30" s="8">
        <v>29</v>
      </c>
      <c r="E30" s="6">
        <v>5.6</v>
      </c>
      <c r="F30" s="8">
        <v>2</v>
      </c>
      <c r="G30" s="8">
        <v>2</v>
      </c>
      <c r="H30" s="5" t="s">
        <v>1165</v>
      </c>
      <c r="I30" s="7" t="s">
        <v>63</v>
      </c>
      <c r="J30" s="5" t="s">
        <v>1544</v>
      </c>
      <c r="K30" s="5" t="s">
        <v>1545</v>
      </c>
    </row>
    <row r="31" spans="1:11" x14ac:dyDescent="0.25">
      <c r="A31" s="5" t="s">
        <v>885</v>
      </c>
      <c r="B31" s="8">
        <v>43</v>
      </c>
      <c r="C31" s="8">
        <v>37</v>
      </c>
      <c r="D31" s="8">
        <v>30</v>
      </c>
      <c r="E31" s="6">
        <v>5.5</v>
      </c>
      <c r="F31" s="8">
        <v>3</v>
      </c>
      <c r="G31" s="8">
        <v>3</v>
      </c>
      <c r="H31" s="5" t="s">
        <v>1165</v>
      </c>
      <c r="I31" s="7" t="s">
        <v>63</v>
      </c>
      <c r="J31" s="5" t="s">
        <v>1544</v>
      </c>
      <c r="K31" s="5" t="s">
        <v>1545</v>
      </c>
    </row>
    <row r="32" spans="1:11" x14ac:dyDescent="0.25">
      <c r="A32" s="5" t="s">
        <v>1423</v>
      </c>
      <c r="B32" s="8">
        <v>43</v>
      </c>
      <c r="C32" s="8">
        <v>37</v>
      </c>
      <c r="D32" s="8">
        <v>30</v>
      </c>
      <c r="E32" s="6">
        <v>5.6</v>
      </c>
      <c r="F32" s="8">
        <v>3</v>
      </c>
      <c r="G32" s="8">
        <v>3</v>
      </c>
      <c r="H32" s="5" t="s">
        <v>1165</v>
      </c>
      <c r="I32" s="7" t="s">
        <v>63</v>
      </c>
      <c r="J32" s="5" t="s">
        <v>1544</v>
      </c>
      <c r="K32" s="5" t="s">
        <v>1545</v>
      </c>
    </row>
    <row r="33" spans="1:11" x14ac:dyDescent="0.25">
      <c r="A33" s="5" t="s">
        <v>1477</v>
      </c>
      <c r="B33" s="8">
        <v>43</v>
      </c>
      <c r="C33" s="6">
        <v>41.5</v>
      </c>
      <c r="D33" s="6">
        <v>37.5</v>
      </c>
      <c r="E33" s="6">
        <v>7.55</v>
      </c>
      <c r="F33" s="8">
        <v>1</v>
      </c>
      <c r="G33" s="8">
        <v>1</v>
      </c>
      <c r="H33" s="5" t="s">
        <v>1165</v>
      </c>
      <c r="I33" s="7" t="s">
        <v>63</v>
      </c>
      <c r="J33" s="5" t="s">
        <v>1544</v>
      </c>
      <c r="K33" s="5" t="s">
        <v>1545</v>
      </c>
    </row>
    <row r="34" spans="1:11" x14ac:dyDescent="0.25">
      <c r="A34" s="5" t="s">
        <v>1468</v>
      </c>
      <c r="B34" s="6">
        <v>43.5</v>
      </c>
      <c r="C34" s="6">
        <v>36.5</v>
      </c>
      <c r="D34" s="6">
        <v>30.5</v>
      </c>
      <c r="E34" s="6">
        <v>16.899999999999999</v>
      </c>
      <c r="F34" s="8">
        <v>1</v>
      </c>
      <c r="G34" s="8">
        <v>1</v>
      </c>
      <c r="H34" s="5" t="s">
        <v>1165</v>
      </c>
      <c r="I34" s="7" t="s">
        <v>63</v>
      </c>
      <c r="J34" s="5" t="s">
        <v>1544</v>
      </c>
      <c r="K34" s="5" t="s">
        <v>1545</v>
      </c>
    </row>
    <row r="35" spans="1:11" x14ac:dyDescent="0.25">
      <c r="A35" s="5" t="s">
        <v>812</v>
      </c>
      <c r="B35" s="8">
        <v>45</v>
      </c>
      <c r="C35" s="8">
        <v>37</v>
      </c>
      <c r="D35" s="8">
        <v>32</v>
      </c>
      <c r="E35" s="6">
        <v>5.9</v>
      </c>
      <c r="F35" s="8">
        <v>1</v>
      </c>
      <c r="G35" s="8">
        <v>1</v>
      </c>
      <c r="H35" s="5" t="s">
        <v>1165</v>
      </c>
      <c r="I35" s="7" t="s">
        <v>63</v>
      </c>
      <c r="J35" s="5" t="s">
        <v>1544</v>
      </c>
      <c r="K35" s="5" t="s">
        <v>1545</v>
      </c>
    </row>
    <row r="36" spans="1:11" x14ac:dyDescent="0.25">
      <c r="A36" s="5" t="s">
        <v>1299</v>
      </c>
      <c r="B36" s="8">
        <v>45</v>
      </c>
      <c r="C36" s="8">
        <v>37</v>
      </c>
      <c r="D36" s="8">
        <v>32</v>
      </c>
      <c r="E36" s="6">
        <v>6.1</v>
      </c>
      <c r="F36" s="8">
        <v>1</v>
      </c>
      <c r="G36" s="8">
        <v>1</v>
      </c>
      <c r="H36" s="5" t="s">
        <v>1165</v>
      </c>
      <c r="I36" s="7" t="s">
        <v>63</v>
      </c>
      <c r="J36" s="5" t="s">
        <v>1544</v>
      </c>
      <c r="K36" s="5" t="s">
        <v>1545</v>
      </c>
    </row>
    <row r="37" spans="1:11" x14ac:dyDescent="0.25">
      <c r="A37" s="5" t="s">
        <v>842</v>
      </c>
      <c r="B37" s="8">
        <v>45</v>
      </c>
      <c r="C37" s="8">
        <v>37</v>
      </c>
      <c r="D37" s="8">
        <v>32</v>
      </c>
      <c r="E37" s="6">
        <v>6.3</v>
      </c>
      <c r="F37" s="8">
        <v>5</v>
      </c>
      <c r="G37" s="8">
        <v>5</v>
      </c>
      <c r="H37" s="5" t="s">
        <v>1165</v>
      </c>
      <c r="I37" s="7" t="s">
        <v>63</v>
      </c>
      <c r="J37" s="5" t="s">
        <v>1544</v>
      </c>
      <c r="K37" s="5" t="s">
        <v>1545</v>
      </c>
    </row>
    <row r="38" spans="1:11" x14ac:dyDescent="0.25">
      <c r="A38" s="5" t="s">
        <v>1333</v>
      </c>
      <c r="B38" s="8">
        <v>45</v>
      </c>
      <c r="C38" s="8">
        <v>37</v>
      </c>
      <c r="D38" s="8">
        <v>32</v>
      </c>
      <c r="E38" s="6">
        <v>6.4</v>
      </c>
      <c r="F38" s="8">
        <v>4</v>
      </c>
      <c r="G38" s="8">
        <v>4</v>
      </c>
      <c r="H38" s="5" t="s">
        <v>1165</v>
      </c>
      <c r="I38" s="7" t="s">
        <v>63</v>
      </c>
      <c r="J38" s="5" t="s">
        <v>1544</v>
      </c>
      <c r="K38" s="5" t="s">
        <v>1545</v>
      </c>
    </row>
    <row r="39" spans="1:11" x14ac:dyDescent="0.25">
      <c r="A39" s="5" t="s">
        <v>1288</v>
      </c>
      <c r="B39" s="8">
        <v>45</v>
      </c>
      <c r="C39" s="8">
        <v>37</v>
      </c>
      <c r="D39" s="8">
        <v>32</v>
      </c>
      <c r="E39" s="6">
        <v>6.95</v>
      </c>
      <c r="F39" s="8">
        <v>1</v>
      </c>
      <c r="G39" s="8">
        <v>1</v>
      </c>
      <c r="H39" s="5" t="s">
        <v>1165</v>
      </c>
      <c r="I39" s="7" t="s">
        <v>63</v>
      </c>
      <c r="J39" s="5" t="s">
        <v>1544</v>
      </c>
      <c r="K39" s="5" t="s">
        <v>1545</v>
      </c>
    </row>
    <row r="40" spans="1:11" x14ac:dyDescent="0.25">
      <c r="A40" s="5" t="s">
        <v>989</v>
      </c>
      <c r="B40" s="8">
        <v>45</v>
      </c>
      <c r="C40" s="8">
        <v>37</v>
      </c>
      <c r="D40" s="8">
        <v>32</v>
      </c>
      <c r="E40" s="6">
        <v>10.5</v>
      </c>
      <c r="F40" s="8">
        <v>1</v>
      </c>
      <c r="G40" s="8">
        <v>1</v>
      </c>
      <c r="H40" s="5" t="s">
        <v>1165</v>
      </c>
      <c r="I40" s="7" t="s">
        <v>63</v>
      </c>
      <c r="J40" s="5" t="s">
        <v>1544</v>
      </c>
      <c r="K40" s="5" t="s">
        <v>1545</v>
      </c>
    </row>
    <row r="41" spans="1:11" x14ac:dyDescent="0.25">
      <c r="A41" s="5" t="s">
        <v>686</v>
      </c>
      <c r="B41" s="6">
        <v>45.5</v>
      </c>
      <c r="C41" s="8">
        <v>37</v>
      </c>
      <c r="D41" s="6">
        <v>32.5</v>
      </c>
      <c r="E41" s="6">
        <v>6.3</v>
      </c>
      <c r="F41" s="8">
        <v>4</v>
      </c>
      <c r="G41" s="8">
        <v>4</v>
      </c>
      <c r="H41" s="5" t="s">
        <v>1165</v>
      </c>
      <c r="I41" s="7" t="s">
        <v>63</v>
      </c>
      <c r="J41" s="5" t="s">
        <v>1544</v>
      </c>
      <c r="K41" s="5" t="s">
        <v>1545</v>
      </c>
    </row>
    <row r="42" spans="1:11" x14ac:dyDescent="0.25">
      <c r="A42" s="5" t="s">
        <v>1053</v>
      </c>
      <c r="B42" s="6">
        <v>45.5</v>
      </c>
      <c r="C42" s="8">
        <v>39</v>
      </c>
      <c r="D42" s="8">
        <v>37</v>
      </c>
      <c r="E42" s="6">
        <v>17.600000000000001</v>
      </c>
      <c r="F42" s="8">
        <v>1</v>
      </c>
      <c r="G42" s="8">
        <v>1</v>
      </c>
      <c r="H42" s="5" t="s">
        <v>1165</v>
      </c>
      <c r="I42" s="7" t="s">
        <v>63</v>
      </c>
      <c r="J42" s="5" t="s">
        <v>1544</v>
      </c>
      <c r="K42" s="5" t="s">
        <v>1545</v>
      </c>
    </row>
    <row r="43" spans="1:11" x14ac:dyDescent="0.25">
      <c r="A43" s="5" t="s">
        <v>1320</v>
      </c>
      <c r="B43" s="6">
        <v>45.5</v>
      </c>
      <c r="C43" s="8">
        <v>39</v>
      </c>
      <c r="D43" s="8">
        <v>37</v>
      </c>
      <c r="E43" s="6">
        <v>17.899999999999999</v>
      </c>
      <c r="F43" s="8">
        <v>1</v>
      </c>
      <c r="G43" s="8">
        <v>1</v>
      </c>
      <c r="H43" s="5" t="s">
        <v>1165</v>
      </c>
      <c r="I43" s="7" t="s">
        <v>63</v>
      </c>
      <c r="J43" s="5" t="s">
        <v>1544</v>
      </c>
      <c r="K43" s="5" t="s">
        <v>1545</v>
      </c>
    </row>
    <row r="44" spans="1:11" x14ac:dyDescent="0.25">
      <c r="A44" s="5" t="s">
        <v>1017</v>
      </c>
      <c r="B44" s="8">
        <v>46</v>
      </c>
      <c r="C44" s="8">
        <v>37</v>
      </c>
      <c r="D44" s="8">
        <v>32</v>
      </c>
      <c r="E44" s="6">
        <v>5.8</v>
      </c>
      <c r="F44" s="8">
        <v>1</v>
      </c>
      <c r="G44" s="8">
        <v>1</v>
      </c>
      <c r="H44" s="5" t="s">
        <v>1165</v>
      </c>
      <c r="I44" s="7" t="s">
        <v>63</v>
      </c>
      <c r="J44" s="5" t="s">
        <v>1544</v>
      </c>
      <c r="K44" s="5" t="s">
        <v>1545</v>
      </c>
    </row>
    <row r="45" spans="1:11" x14ac:dyDescent="0.25">
      <c r="A45" s="5" t="s">
        <v>1305</v>
      </c>
      <c r="B45" s="8">
        <v>46</v>
      </c>
      <c r="C45" s="8">
        <v>37</v>
      </c>
      <c r="D45" s="8">
        <v>32</v>
      </c>
      <c r="E45" s="6">
        <v>6.1</v>
      </c>
      <c r="F45" s="8">
        <v>3</v>
      </c>
      <c r="G45" s="8">
        <v>3</v>
      </c>
      <c r="H45" s="5" t="s">
        <v>1165</v>
      </c>
      <c r="I45" s="7" t="s">
        <v>63</v>
      </c>
      <c r="J45" s="5" t="s">
        <v>1544</v>
      </c>
      <c r="K45" s="5" t="s">
        <v>1545</v>
      </c>
    </row>
    <row r="46" spans="1:11" x14ac:dyDescent="0.25">
      <c r="A46" s="5" t="s">
        <v>751</v>
      </c>
      <c r="B46" s="8">
        <v>46</v>
      </c>
      <c r="C46" s="8">
        <v>37</v>
      </c>
      <c r="D46" s="8">
        <v>32</v>
      </c>
      <c r="E46" s="6">
        <v>6.2</v>
      </c>
      <c r="F46" s="8">
        <v>5</v>
      </c>
      <c r="G46" s="8">
        <v>5</v>
      </c>
      <c r="H46" s="5" t="s">
        <v>1165</v>
      </c>
      <c r="I46" s="7" t="s">
        <v>63</v>
      </c>
      <c r="J46" s="5" t="s">
        <v>1544</v>
      </c>
      <c r="K46" s="5" t="s">
        <v>1545</v>
      </c>
    </row>
    <row r="47" spans="1:11" x14ac:dyDescent="0.25">
      <c r="A47" s="5" t="s">
        <v>848</v>
      </c>
      <c r="B47" s="8">
        <v>46</v>
      </c>
      <c r="C47" s="8">
        <v>37</v>
      </c>
      <c r="D47" s="8">
        <v>32</v>
      </c>
      <c r="E47" s="6">
        <v>6.3</v>
      </c>
      <c r="F47" s="8">
        <v>1</v>
      </c>
      <c r="G47" s="8">
        <v>1</v>
      </c>
      <c r="H47" s="5" t="s">
        <v>1165</v>
      </c>
      <c r="I47" s="7" t="s">
        <v>63</v>
      </c>
      <c r="J47" s="5" t="s">
        <v>1544</v>
      </c>
      <c r="K47" s="5" t="s">
        <v>1545</v>
      </c>
    </row>
    <row r="48" spans="1:11" x14ac:dyDescent="0.25">
      <c r="A48" s="5" t="s">
        <v>747</v>
      </c>
      <c r="B48" s="8">
        <v>46</v>
      </c>
      <c r="C48" s="8">
        <v>37</v>
      </c>
      <c r="D48" s="8">
        <v>32</v>
      </c>
      <c r="E48" s="6">
        <v>6.4</v>
      </c>
      <c r="F48" s="8">
        <v>1</v>
      </c>
      <c r="G48" s="8">
        <v>1</v>
      </c>
      <c r="H48" s="5" t="s">
        <v>1165</v>
      </c>
      <c r="I48" s="7" t="s">
        <v>63</v>
      </c>
      <c r="J48" s="5" t="s">
        <v>1544</v>
      </c>
      <c r="K48" s="5" t="s">
        <v>1545</v>
      </c>
    </row>
    <row r="49" spans="1:11" x14ac:dyDescent="0.25">
      <c r="A49" s="5" t="s">
        <v>738</v>
      </c>
      <c r="B49" s="8">
        <v>46</v>
      </c>
      <c r="C49" s="8">
        <v>37</v>
      </c>
      <c r="D49" s="8">
        <v>32</v>
      </c>
      <c r="E49" s="8">
        <v>11</v>
      </c>
      <c r="F49" s="8">
        <v>1</v>
      </c>
      <c r="G49" s="8">
        <v>1</v>
      </c>
      <c r="H49" s="5" t="s">
        <v>1165</v>
      </c>
      <c r="I49" s="7" t="s">
        <v>63</v>
      </c>
      <c r="J49" s="5" t="s">
        <v>1544</v>
      </c>
      <c r="K49" s="5" t="s">
        <v>1545</v>
      </c>
    </row>
    <row r="50" spans="1:11" x14ac:dyDescent="0.25">
      <c r="A50" s="5" t="s">
        <v>806</v>
      </c>
      <c r="B50" s="8">
        <v>46</v>
      </c>
      <c r="C50" s="8">
        <v>37</v>
      </c>
      <c r="D50" s="8">
        <v>32</v>
      </c>
      <c r="E50" s="6">
        <v>11.2</v>
      </c>
      <c r="F50" s="8">
        <v>1</v>
      </c>
      <c r="G50" s="8">
        <v>1</v>
      </c>
      <c r="H50" s="5" t="s">
        <v>1165</v>
      </c>
      <c r="I50" s="7" t="s">
        <v>63</v>
      </c>
      <c r="J50" s="5" t="s">
        <v>1544</v>
      </c>
      <c r="K50" s="5" t="s">
        <v>1545</v>
      </c>
    </row>
    <row r="51" spans="1:11" x14ac:dyDescent="0.25">
      <c r="A51" s="5" t="s">
        <v>743</v>
      </c>
      <c r="B51" s="8">
        <v>46</v>
      </c>
      <c r="C51" s="8">
        <v>37</v>
      </c>
      <c r="D51" s="8">
        <v>32</v>
      </c>
      <c r="E51" s="6">
        <v>11.5</v>
      </c>
      <c r="F51" s="8">
        <v>1</v>
      </c>
      <c r="G51" s="8">
        <v>1</v>
      </c>
      <c r="H51" s="5" t="s">
        <v>1165</v>
      </c>
      <c r="I51" s="7" t="s">
        <v>63</v>
      </c>
      <c r="J51" s="5" t="s">
        <v>1544</v>
      </c>
      <c r="K51" s="5" t="s">
        <v>1545</v>
      </c>
    </row>
    <row r="52" spans="1:11" x14ac:dyDescent="0.25">
      <c r="A52" s="5" t="s">
        <v>1058</v>
      </c>
      <c r="B52" s="8">
        <v>46</v>
      </c>
      <c r="C52" s="8">
        <v>39</v>
      </c>
      <c r="D52" s="8">
        <v>37</v>
      </c>
      <c r="E52" s="6">
        <v>17.3</v>
      </c>
      <c r="F52" s="8">
        <v>1</v>
      </c>
      <c r="G52" s="8">
        <v>1</v>
      </c>
      <c r="H52" s="5" t="s">
        <v>1165</v>
      </c>
      <c r="I52" s="7" t="s">
        <v>63</v>
      </c>
      <c r="J52" s="5" t="s">
        <v>1544</v>
      </c>
      <c r="K52" s="5" t="s">
        <v>1545</v>
      </c>
    </row>
    <row r="53" spans="1:11" x14ac:dyDescent="0.25">
      <c r="A53" s="5" t="s">
        <v>1364</v>
      </c>
      <c r="B53" s="6">
        <v>46.5</v>
      </c>
      <c r="C53" s="8">
        <v>39</v>
      </c>
      <c r="D53" s="6">
        <v>37.5</v>
      </c>
      <c r="E53" s="6">
        <v>13.85</v>
      </c>
      <c r="F53" s="8">
        <v>1</v>
      </c>
      <c r="G53" s="8">
        <v>1</v>
      </c>
      <c r="H53" s="5" t="s">
        <v>1165</v>
      </c>
      <c r="I53" s="7" t="s">
        <v>63</v>
      </c>
      <c r="J53" s="5" t="s">
        <v>1544</v>
      </c>
      <c r="K53" s="5" t="s">
        <v>1545</v>
      </c>
    </row>
    <row r="54" spans="1:11" x14ac:dyDescent="0.25">
      <c r="A54" s="5" t="s">
        <v>1329</v>
      </c>
      <c r="B54" s="8">
        <v>47</v>
      </c>
      <c r="C54" s="6">
        <v>39.5</v>
      </c>
      <c r="D54" s="8">
        <v>28</v>
      </c>
      <c r="E54" s="6">
        <v>12.6</v>
      </c>
      <c r="F54" s="8">
        <v>1</v>
      </c>
      <c r="G54" s="8">
        <v>1</v>
      </c>
      <c r="H54" s="5" t="s">
        <v>1165</v>
      </c>
      <c r="I54" s="7" t="s">
        <v>63</v>
      </c>
      <c r="J54" s="5" t="s">
        <v>1544</v>
      </c>
      <c r="K54" s="5" t="s">
        <v>1545</v>
      </c>
    </row>
    <row r="55" spans="1:11" x14ac:dyDescent="0.25">
      <c r="A55" s="5" t="s">
        <v>1453</v>
      </c>
      <c r="B55" s="6">
        <v>47.5</v>
      </c>
      <c r="C55" s="8">
        <v>38</v>
      </c>
      <c r="D55" s="8">
        <v>34</v>
      </c>
      <c r="E55" s="6">
        <v>16.2</v>
      </c>
      <c r="F55" s="8">
        <v>1</v>
      </c>
      <c r="G55" s="8">
        <v>1</v>
      </c>
      <c r="H55" s="5" t="s">
        <v>1165</v>
      </c>
      <c r="I55" s="7" t="s">
        <v>63</v>
      </c>
      <c r="J55" s="5" t="s">
        <v>1544</v>
      </c>
      <c r="K55" s="5" t="s">
        <v>1545</v>
      </c>
    </row>
    <row r="56" spans="1:11" x14ac:dyDescent="0.25">
      <c r="A56" s="5" t="s">
        <v>733</v>
      </c>
      <c r="B56" s="8">
        <v>48</v>
      </c>
      <c r="C56" s="8">
        <v>36</v>
      </c>
      <c r="D56" s="8">
        <v>32</v>
      </c>
      <c r="E56" s="6">
        <v>9.4</v>
      </c>
      <c r="F56" s="8">
        <v>1</v>
      </c>
      <c r="G56" s="8">
        <v>1</v>
      </c>
      <c r="H56" s="5" t="s">
        <v>1165</v>
      </c>
      <c r="I56" s="7" t="s">
        <v>63</v>
      </c>
      <c r="J56" s="5" t="s">
        <v>1544</v>
      </c>
      <c r="K56" s="5" t="s">
        <v>1545</v>
      </c>
    </row>
    <row r="57" spans="1:11" x14ac:dyDescent="0.25">
      <c r="A57" s="5" t="s">
        <v>1449</v>
      </c>
      <c r="B57" s="8">
        <v>48</v>
      </c>
      <c r="C57" s="8">
        <v>39</v>
      </c>
      <c r="D57" s="8">
        <v>34</v>
      </c>
      <c r="E57" s="6">
        <v>16.25</v>
      </c>
      <c r="F57" s="8">
        <v>1</v>
      </c>
      <c r="G57" s="8">
        <v>1</v>
      </c>
      <c r="H57" s="5" t="s">
        <v>1165</v>
      </c>
      <c r="I57" s="7" t="s">
        <v>63</v>
      </c>
      <c r="J57" s="5" t="s">
        <v>1544</v>
      </c>
      <c r="K57" s="5" t="s">
        <v>1545</v>
      </c>
    </row>
    <row r="58" spans="1:11" x14ac:dyDescent="0.25">
      <c r="A58" s="5" t="s">
        <v>828</v>
      </c>
      <c r="B58" s="8">
        <v>48</v>
      </c>
      <c r="C58" s="8">
        <v>39</v>
      </c>
      <c r="D58" s="8">
        <v>34</v>
      </c>
      <c r="E58" s="6">
        <v>22.15</v>
      </c>
      <c r="F58" s="8">
        <v>1</v>
      </c>
      <c r="G58" s="8">
        <v>1</v>
      </c>
      <c r="H58" s="5" t="s">
        <v>1165</v>
      </c>
      <c r="I58" s="7" t="s">
        <v>63</v>
      </c>
      <c r="J58" s="5" t="s">
        <v>1544</v>
      </c>
      <c r="K58" s="5" t="s">
        <v>1545</v>
      </c>
    </row>
    <row r="59" spans="1:11" x14ac:dyDescent="0.25">
      <c r="A59" s="5" t="s">
        <v>1204</v>
      </c>
      <c r="B59" s="8">
        <v>48</v>
      </c>
      <c r="C59" s="8">
        <v>40</v>
      </c>
      <c r="D59" s="8">
        <v>38</v>
      </c>
      <c r="E59" s="6">
        <v>8.1999999999999993</v>
      </c>
      <c r="F59" s="8">
        <v>1</v>
      </c>
      <c r="G59" s="8">
        <v>1</v>
      </c>
      <c r="H59" s="5" t="s">
        <v>1165</v>
      </c>
      <c r="I59" s="7" t="s">
        <v>63</v>
      </c>
      <c r="J59" s="5" t="s">
        <v>1544</v>
      </c>
      <c r="K59" s="5" t="s">
        <v>1545</v>
      </c>
    </row>
    <row r="60" spans="1:11" x14ac:dyDescent="0.25">
      <c r="A60" s="5" t="s">
        <v>1517</v>
      </c>
      <c r="B60" s="6">
        <v>48.5</v>
      </c>
      <c r="C60" s="6">
        <v>18.5</v>
      </c>
      <c r="D60" s="8">
        <v>17</v>
      </c>
      <c r="E60" s="6">
        <v>2.9</v>
      </c>
      <c r="F60" s="8">
        <v>1</v>
      </c>
      <c r="G60" s="8">
        <v>1</v>
      </c>
      <c r="H60" s="5" t="s">
        <v>1165</v>
      </c>
      <c r="I60" s="7" t="s">
        <v>63</v>
      </c>
      <c r="J60" s="5" t="s">
        <v>1544</v>
      </c>
      <c r="K60" s="5" t="s">
        <v>1545</v>
      </c>
    </row>
    <row r="61" spans="1:11" x14ac:dyDescent="0.25">
      <c r="A61" s="5" t="s">
        <v>1416</v>
      </c>
      <c r="B61" s="8">
        <v>49</v>
      </c>
      <c r="C61" s="6">
        <v>18.5</v>
      </c>
      <c r="D61" s="8">
        <v>17</v>
      </c>
      <c r="E61" s="6">
        <v>2.9</v>
      </c>
      <c r="F61" s="8">
        <v>2</v>
      </c>
      <c r="G61" s="8">
        <v>2</v>
      </c>
      <c r="H61" s="5" t="s">
        <v>1165</v>
      </c>
      <c r="I61" s="7" t="s">
        <v>63</v>
      </c>
      <c r="J61" s="5" t="s">
        <v>1544</v>
      </c>
      <c r="K61" s="5" t="s">
        <v>1545</v>
      </c>
    </row>
    <row r="62" spans="1:11" x14ac:dyDescent="0.25">
      <c r="A62" s="5" t="s">
        <v>1242</v>
      </c>
      <c r="B62" s="8">
        <v>49</v>
      </c>
      <c r="C62" s="8">
        <v>40</v>
      </c>
      <c r="D62" s="8">
        <v>31</v>
      </c>
      <c r="E62" s="6">
        <v>12.15</v>
      </c>
      <c r="F62" s="8">
        <v>2</v>
      </c>
      <c r="G62" s="8">
        <v>2</v>
      </c>
      <c r="H62" s="5" t="s">
        <v>1165</v>
      </c>
      <c r="I62" s="7" t="s">
        <v>63</v>
      </c>
      <c r="J62" s="5" t="s">
        <v>1544</v>
      </c>
      <c r="K62" s="5" t="s">
        <v>1545</v>
      </c>
    </row>
    <row r="63" spans="1:11" x14ac:dyDescent="0.25">
      <c r="A63" s="5" t="s">
        <v>1348</v>
      </c>
      <c r="B63" s="8">
        <v>50</v>
      </c>
      <c r="C63" s="8">
        <v>44</v>
      </c>
      <c r="D63" s="8">
        <v>32</v>
      </c>
      <c r="E63" s="6">
        <v>6.32</v>
      </c>
      <c r="F63" s="8">
        <v>3</v>
      </c>
      <c r="G63" s="8">
        <v>3</v>
      </c>
      <c r="H63" s="5" t="s">
        <v>1165</v>
      </c>
      <c r="I63" s="7" t="s">
        <v>63</v>
      </c>
      <c r="J63" s="5" t="s">
        <v>1544</v>
      </c>
      <c r="K63" s="5" t="s">
        <v>1545</v>
      </c>
    </row>
    <row r="64" spans="1:11" x14ac:dyDescent="0.25">
      <c r="A64" s="5" t="s">
        <v>1278</v>
      </c>
      <c r="B64" s="8">
        <v>50</v>
      </c>
      <c r="C64" s="8">
        <v>48</v>
      </c>
      <c r="D64" s="6">
        <v>30.5</v>
      </c>
      <c r="E64" s="6">
        <v>8.5500000000000007</v>
      </c>
      <c r="F64" s="8">
        <v>1</v>
      </c>
      <c r="G64" s="8">
        <v>1</v>
      </c>
      <c r="H64" s="5" t="s">
        <v>1165</v>
      </c>
      <c r="I64" s="7" t="s">
        <v>63</v>
      </c>
      <c r="J64" s="5" t="s">
        <v>1544</v>
      </c>
      <c r="K64" s="5" t="s">
        <v>1545</v>
      </c>
    </row>
    <row r="65" spans="1:11" x14ac:dyDescent="0.25">
      <c r="A65" s="5" t="s">
        <v>1262</v>
      </c>
      <c r="B65" s="8">
        <v>50</v>
      </c>
      <c r="C65" s="8">
        <v>48</v>
      </c>
      <c r="D65" s="8">
        <v>31</v>
      </c>
      <c r="E65" s="6">
        <v>8.1</v>
      </c>
      <c r="F65" s="8">
        <v>1</v>
      </c>
      <c r="G65" s="8">
        <v>1</v>
      </c>
      <c r="H65" s="5" t="s">
        <v>1165</v>
      </c>
      <c r="I65" s="7" t="s">
        <v>63</v>
      </c>
      <c r="J65" s="5" t="s">
        <v>1544</v>
      </c>
      <c r="K65" s="5" t="s">
        <v>1545</v>
      </c>
    </row>
    <row r="66" spans="1:11" x14ac:dyDescent="0.25">
      <c r="A66" s="5" t="s">
        <v>655</v>
      </c>
      <c r="B66" s="8">
        <v>51</v>
      </c>
      <c r="C66" s="8">
        <v>27</v>
      </c>
      <c r="D66" s="8">
        <v>21</v>
      </c>
      <c r="E66" s="6">
        <v>13.7</v>
      </c>
      <c r="F66" s="8">
        <v>1</v>
      </c>
      <c r="G66" s="8">
        <v>1</v>
      </c>
      <c r="H66" s="5" t="s">
        <v>1165</v>
      </c>
      <c r="I66" s="7" t="s">
        <v>63</v>
      </c>
      <c r="J66" s="5" t="s">
        <v>1544</v>
      </c>
      <c r="K66" s="5" t="s">
        <v>1545</v>
      </c>
    </row>
    <row r="67" spans="1:11" x14ac:dyDescent="0.25">
      <c r="A67" s="5" t="s">
        <v>1442</v>
      </c>
      <c r="B67" s="8">
        <v>51</v>
      </c>
      <c r="C67" s="8">
        <v>49</v>
      </c>
      <c r="D67" s="8">
        <v>40</v>
      </c>
      <c r="E67" s="6">
        <v>9.4</v>
      </c>
      <c r="F67" s="8">
        <v>3</v>
      </c>
      <c r="G67" s="8">
        <v>3</v>
      </c>
      <c r="H67" s="5" t="s">
        <v>1165</v>
      </c>
      <c r="I67" s="7" t="s">
        <v>63</v>
      </c>
      <c r="J67" s="5" t="s">
        <v>1544</v>
      </c>
      <c r="K67" s="5" t="s">
        <v>1545</v>
      </c>
    </row>
    <row r="68" spans="1:11" x14ac:dyDescent="0.25">
      <c r="A68" s="5" t="s">
        <v>1397</v>
      </c>
      <c r="B68" s="8">
        <v>52</v>
      </c>
      <c r="C68" s="8">
        <v>42</v>
      </c>
      <c r="D68" s="8">
        <v>42</v>
      </c>
      <c r="E68" s="6">
        <v>9.6</v>
      </c>
      <c r="F68" s="8">
        <v>6</v>
      </c>
      <c r="G68" s="8">
        <v>6</v>
      </c>
      <c r="H68" s="5" t="s">
        <v>1165</v>
      </c>
      <c r="I68" s="7" t="s">
        <v>63</v>
      </c>
      <c r="J68" s="5" t="s">
        <v>1544</v>
      </c>
      <c r="K68" s="5" t="s">
        <v>1545</v>
      </c>
    </row>
    <row r="69" spans="1:11" x14ac:dyDescent="0.25">
      <c r="A69" s="5" t="s">
        <v>667</v>
      </c>
      <c r="B69" s="8">
        <v>53</v>
      </c>
      <c r="C69" s="8">
        <v>34</v>
      </c>
      <c r="D69" s="8">
        <v>21</v>
      </c>
      <c r="E69" s="6">
        <v>3.8</v>
      </c>
      <c r="F69" s="8">
        <v>1</v>
      </c>
      <c r="G69" s="8">
        <v>1</v>
      </c>
      <c r="H69" s="5" t="s">
        <v>1165</v>
      </c>
      <c r="I69" s="7" t="s">
        <v>63</v>
      </c>
      <c r="J69" s="5" t="s">
        <v>1544</v>
      </c>
      <c r="K69" s="5" t="s">
        <v>1545</v>
      </c>
    </row>
    <row r="70" spans="1:11" x14ac:dyDescent="0.25">
      <c r="A70" s="5" t="s">
        <v>1184</v>
      </c>
      <c r="B70" s="8">
        <v>53</v>
      </c>
      <c r="C70" s="8">
        <v>37</v>
      </c>
      <c r="D70" s="8">
        <v>34</v>
      </c>
      <c r="E70" s="6">
        <v>23.4</v>
      </c>
      <c r="F70" s="8">
        <v>1</v>
      </c>
      <c r="G70" s="8">
        <v>1</v>
      </c>
      <c r="H70" s="5" t="s">
        <v>1165</v>
      </c>
      <c r="I70" s="7" t="s">
        <v>63</v>
      </c>
      <c r="J70" s="5" t="s">
        <v>1544</v>
      </c>
      <c r="K70" s="5" t="s">
        <v>1545</v>
      </c>
    </row>
    <row r="71" spans="1:11" x14ac:dyDescent="0.25">
      <c r="A71" s="5" t="s">
        <v>835</v>
      </c>
      <c r="B71" s="8">
        <v>55</v>
      </c>
      <c r="C71" s="8">
        <v>27</v>
      </c>
      <c r="D71" s="8">
        <v>30</v>
      </c>
      <c r="E71" s="8">
        <v>10</v>
      </c>
      <c r="F71" s="8">
        <v>1</v>
      </c>
      <c r="G71" s="8">
        <v>1</v>
      </c>
      <c r="H71" s="5" t="s">
        <v>1165</v>
      </c>
      <c r="I71" s="7" t="s">
        <v>63</v>
      </c>
      <c r="J71" s="5" t="s">
        <v>1544</v>
      </c>
      <c r="K71" s="5" t="s">
        <v>1545</v>
      </c>
    </row>
    <row r="72" spans="1:11" x14ac:dyDescent="0.25">
      <c r="A72" s="5" t="s">
        <v>1387</v>
      </c>
      <c r="B72" s="8">
        <v>55</v>
      </c>
      <c r="C72" s="8">
        <v>34</v>
      </c>
      <c r="D72" s="8">
        <v>18</v>
      </c>
      <c r="E72" s="6">
        <v>7.1</v>
      </c>
      <c r="F72" s="8">
        <v>1</v>
      </c>
      <c r="G72" s="8">
        <v>1</v>
      </c>
      <c r="H72" s="5" t="s">
        <v>1165</v>
      </c>
      <c r="I72" s="7" t="s">
        <v>63</v>
      </c>
      <c r="J72" s="5" t="s">
        <v>1544</v>
      </c>
      <c r="K72" s="5" t="s">
        <v>1545</v>
      </c>
    </row>
    <row r="73" spans="1:11" x14ac:dyDescent="0.25">
      <c r="A73" s="5" t="s">
        <v>660</v>
      </c>
      <c r="B73" s="8">
        <v>55</v>
      </c>
      <c r="C73" s="8">
        <v>35</v>
      </c>
      <c r="D73" s="8">
        <v>20</v>
      </c>
      <c r="E73" s="6">
        <v>8.1999999999999993</v>
      </c>
      <c r="F73" s="8">
        <v>1</v>
      </c>
      <c r="G73" s="8">
        <v>1</v>
      </c>
      <c r="H73" s="5" t="s">
        <v>1165</v>
      </c>
      <c r="I73" s="7" t="s">
        <v>63</v>
      </c>
      <c r="J73" s="5" t="s">
        <v>1544</v>
      </c>
      <c r="K73" s="5" t="s">
        <v>1545</v>
      </c>
    </row>
    <row r="74" spans="1:11" x14ac:dyDescent="0.25">
      <c r="A74" s="5" t="s">
        <v>677</v>
      </c>
      <c r="B74" s="8">
        <v>55</v>
      </c>
      <c r="C74" s="8">
        <v>35</v>
      </c>
      <c r="D74" s="8">
        <v>20</v>
      </c>
      <c r="E74" s="6">
        <v>8.6</v>
      </c>
      <c r="F74" s="8">
        <v>1</v>
      </c>
      <c r="G74" s="8">
        <v>1</v>
      </c>
      <c r="H74" s="5" t="s">
        <v>1165</v>
      </c>
      <c r="I74" s="7" t="s">
        <v>63</v>
      </c>
      <c r="J74" s="5" t="s">
        <v>1544</v>
      </c>
      <c r="K74" s="5" t="s">
        <v>1545</v>
      </c>
    </row>
    <row r="75" spans="1:11" x14ac:dyDescent="0.25">
      <c r="A75" s="5" t="s">
        <v>1458</v>
      </c>
      <c r="B75" s="8">
        <v>55</v>
      </c>
      <c r="C75" s="8">
        <v>42</v>
      </c>
      <c r="D75" s="6">
        <v>40.5</v>
      </c>
      <c r="E75" s="6">
        <v>9.1</v>
      </c>
      <c r="F75" s="8">
        <v>4</v>
      </c>
      <c r="G75" s="8">
        <v>4</v>
      </c>
      <c r="H75" s="5" t="s">
        <v>1165</v>
      </c>
      <c r="I75" s="7" t="s">
        <v>63</v>
      </c>
      <c r="J75" s="5" t="s">
        <v>1544</v>
      </c>
      <c r="K75" s="5" t="s">
        <v>1545</v>
      </c>
    </row>
    <row r="76" spans="1:11" x14ac:dyDescent="0.25">
      <c r="A76" s="5" t="s">
        <v>697</v>
      </c>
      <c r="B76" s="8">
        <v>55</v>
      </c>
      <c r="C76" s="8">
        <v>48</v>
      </c>
      <c r="D76" s="6">
        <v>15.5</v>
      </c>
      <c r="E76" s="6">
        <v>14.7</v>
      </c>
      <c r="F76" s="8">
        <v>3</v>
      </c>
      <c r="G76" s="8">
        <v>3</v>
      </c>
      <c r="H76" s="5" t="s">
        <v>1165</v>
      </c>
      <c r="I76" s="7" t="s">
        <v>63</v>
      </c>
      <c r="J76" s="5" t="s">
        <v>1544</v>
      </c>
      <c r="K76" s="5" t="s">
        <v>1545</v>
      </c>
    </row>
    <row r="77" spans="1:11" x14ac:dyDescent="0.25">
      <c r="A77" s="5" t="s">
        <v>681</v>
      </c>
      <c r="B77" s="8">
        <v>56</v>
      </c>
      <c r="C77" s="8">
        <v>35</v>
      </c>
      <c r="D77" s="8">
        <v>20</v>
      </c>
      <c r="E77" s="6">
        <v>8.3000000000000007</v>
      </c>
      <c r="F77" s="8">
        <v>1</v>
      </c>
      <c r="G77" s="8">
        <v>1</v>
      </c>
      <c r="H77" s="5" t="s">
        <v>1165</v>
      </c>
      <c r="I77" s="7" t="s">
        <v>63</v>
      </c>
      <c r="J77" s="5" t="s">
        <v>1544</v>
      </c>
      <c r="K77" s="5" t="s">
        <v>1545</v>
      </c>
    </row>
    <row r="78" spans="1:11" x14ac:dyDescent="0.25">
      <c r="A78" s="5" t="s">
        <v>1192</v>
      </c>
      <c r="B78" s="8">
        <v>56</v>
      </c>
      <c r="C78" s="8">
        <v>42</v>
      </c>
      <c r="D78" s="8">
        <v>41</v>
      </c>
      <c r="E78" s="6">
        <v>9.0500000000000007</v>
      </c>
      <c r="F78" s="8">
        <v>1</v>
      </c>
      <c r="G78" s="8">
        <v>1</v>
      </c>
      <c r="H78" s="5" t="s">
        <v>1165</v>
      </c>
      <c r="I78" s="7" t="s">
        <v>63</v>
      </c>
      <c r="J78" s="5" t="s">
        <v>1544</v>
      </c>
      <c r="K78" s="5" t="s">
        <v>1545</v>
      </c>
    </row>
    <row r="79" spans="1:11" x14ac:dyDescent="0.25">
      <c r="A79" s="5" t="s">
        <v>821</v>
      </c>
      <c r="B79" s="8">
        <v>57</v>
      </c>
      <c r="C79" s="8">
        <v>28</v>
      </c>
      <c r="D79" s="6">
        <v>15.5</v>
      </c>
      <c r="E79" s="6">
        <v>8.5</v>
      </c>
      <c r="F79" s="8">
        <v>2</v>
      </c>
      <c r="G79" s="8">
        <v>2</v>
      </c>
      <c r="H79" s="5" t="s">
        <v>1165</v>
      </c>
      <c r="I79" s="7" t="s">
        <v>63</v>
      </c>
      <c r="J79" s="5" t="s">
        <v>1544</v>
      </c>
      <c r="K79" s="5" t="s">
        <v>1545</v>
      </c>
    </row>
    <row r="80" spans="1:11" x14ac:dyDescent="0.25">
      <c r="A80" s="5" t="s">
        <v>784</v>
      </c>
      <c r="B80" s="8">
        <v>58</v>
      </c>
      <c r="C80" s="8">
        <v>48</v>
      </c>
      <c r="D80" s="8">
        <v>26</v>
      </c>
      <c r="E80" s="6">
        <v>8.4</v>
      </c>
      <c r="F80" s="8">
        <v>1</v>
      </c>
      <c r="G80" s="8">
        <v>1</v>
      </c>
      <c r="H80" s="5" t="s">
        <v>1165</v>
      </c>
      <c r="I80" s="7" t="s">
        <v>63</v>
      </c>
      <c r="J80" s="5" t="s">
        <v>1544</v>
      </c>
      <c r="K80" s="5" t="s">
        <v>1545</v>
      </c>
    </row>
    <row r="81" spans="1:11" x14ac:dyDescent="0.25">
      <c r="A81" s="5" t="s">
        <v>1273</v>
      </c>
      <c r="B81" s="6">
        <v>58.5</v>
      </c>
      <c r="C81" s="8">
        <v>35</v>
      </c>
      <c r="D81" s="8">
        <v>27</v>
      </c>
      <c r="E81" s="6">
        <v>9.8000000000000007</v>
      </c>
      <c r="F81" s="8">
        <v>1</v>
      </c>
      <c r="G81" s="8">
        <v>1</v>
      </c>
      <c r="H81" s="5" t="s">
        <v>1165</v>
      </c>
      <c r="I81" s="7" t="s">
        <v>63</v>
      </c>
      <c r="J81" s="5" t="s">
        <v>1544</v>
      </c>
      <c r="K81" s="5" t="s">
        <v>1545</v>
      </c>
    </row>
    <row r="82" spans="1:11" x14ac:dyDescent="0.25">
      <c r="A82" s="5" t="s">
        <v>1048</v>
      </c>
      <c r="B82" s="8">
        <v>59</v>
      </c>
      <c r="C82" s="8">
        <v>41</v>
      </c>
      <c r="D82" s="8">
        <v>40</v>
      </c>
      <c r="E82" s="6">
        <v>10.5</v>
      </c>
      <c r="F82" s="8">
        <v>1</v>
      </c>
      <c r="G82" s="8">
        <v>1</v>
      </c>
      <c r="H82" s="5" t="s">
        <v>1165</v>
      </c>
      <c r="I82" s="7" t="s">
        <v>63</v>
      </c>
      <c r="J82" s="5" t="s">
        <v>1544</v>
      </c>
      <c r="K82" s="5" t="s">
        <v>1545</v>
      </c>
    </row>
    <row r="83" spans="1:11" x14ac:dyDescent="0.25">
      <c r="A83" s="5" t="s">
        <v>1368</v>
      </c>
      <c r="B83" s="8">
        <v>59</v>
      </c>
      <c r="C83" s="8">
        <v>41</v>
      </c>
      <c r="D83" s="8">
        <v>40</v>
      </c>
      <c r="E83" s="6">
        <v>13.6</v>
      </c>
      <c r="F83" s="8">
        <v>4</v>
      </c>
      <c r="G83" s="8">
        <v>4</v>
      </c>
      <c r="H83" s="5" t="s">
        <v>1165</v>
      </c>
      <c r="I83" s="7" t="s">
        <v>63</v>
      </c>
      <c r="J83" s="5" t="s">
        <v>1544</v>
      </c>
      <c r="K83" s="5" t="s">
        <v>1545</v>
      </c>
    </row>
    <row r="84" spans="1:11" x14ac:dyDescent="0.25">
      <c r="A84" s="5" t="s">
        <v>1373</v>
      </c>
      <c r="B84" s="8">
        <v>59</v>
      </c>
      <c r="C84" s="8">
        <v>41</v>
      </c>
      <c r="D84" s="8">
        <v>40</v>
      </c>
      <c r="E84" s="6">
        <v>13.7</v>
      </c>
      <c r="F84" s="8">
        <v>1</v>
      </c>
      <c r="G84" s="8">
        <v>1</v>
      </c>
      <c r="H84" s="5" t="s">
        <v>1165</v>
      </c>
      <c r="I84" s="7" t="s">
        <v>63</v>
      </c>
      <c r="J84" s="5" t="s">
        <v>1544</v>
      </c>
      <c r="K84" s="5" t="s">
        <v>1545</v>
      </c>
    </row>
    <row r="85" spans="1:11" x14ac:dyDescent="0.25">
      <c r="A85" s="5" t="s">
        <v>1219</v>
      </c>
      <c r="B85" s="8">
        <v>59</v>
      </c>
      <c r="C85" s="8">
        <v>41</v>
      </c>
      <c r="D85" s="8">
        <v>40</v>
      </c>
      <c r="E85" s="8">
        <v>14</v>
      </c>
      <c r="F85" s="8">
        <v>1</v>
      </c>
      <c r="G85" s="8">
        <v>1</v>
      </c>
      <c r="H85" s="5" t="s">
        <v>1165</v>
      </c>
      <c r="I85" s="7" t="s">
        <v>63</v>
      </c>
      <c r="J85" s="5" t="s">
        <v>1544</v>
      </c>
      <c r="K85" s="5" t="s">
        <v>1545</v>
      </c>
    </row>
    <row r="86" spans="1:11" x14ac:dyDescent="0.25">
      <c r="A86" s="5" t="s">
        <v>1216</v>
      </c>
      <c r="B86" s="8">
        <v>59</v>
      </c>
      <c r="C86" s="8">
        <v>41</v>
      </c>
      <c r="D86" s="8">
        <v>40</v>
      </c>
      <c r="E86" s="6">
        <v>19.3</v>
      </c>
      <c r="F86" s="8">
        <v>1</v>
      </c>
      <c r="G86" s="8">
        <v>1</v>
      </c>
      <c r="H86" s="5" t="s">
        <v>1165</v>
      </c>
      <c r="I86" s="7" t="s">
        <v>63</v>
      </c>
      <c r="J86" s="5" t="s">
        <v>1544</v>
      </c>
      <c r="K86" s="5" t="s">
        <v>1545</v>
      </c>
    </row>
    <row r="87" spans="1:11" x14ac:dyDescent="0.25">
      <c r="A87" s="5" t="s">
        <v>1235</v>
      </c>
      <c r="B87" s="8">
        <v>59</v>
      </c>
      <c r="C87" s="8">
        <v>41</v>
      </c>
      <c r="D87" s="8">
        <v>41</v>
      </c>
      <c r="E87" s="6">
        <v>10.6</v>
      </c>
      <c r="F87" s="8">
        <v>3</v>
      </c>
      <c r="G87" s="8">
        <v>3</v>
      </c>
      <c r="H87" s="5" t="s">
        <v>1165</v>
      </c>
      <c r="I87" s="7" t="s">
        <v>63</v>
      </c>
      <c r="J87" s="5" t="s">
        <v>1544</v>
      </c>
      <c r="K87" s="5" t="s">
        <v>1545</v>
      </c>
    </row>
    <row r="88" spans="1:11" x14ac:dyDescent="0.25">
      <c r="A88" s="5" t="s">
        <v>1521</v>
      </c>
      <c r="B88" s="8">
        <v>60</v>
      </c>
      <c r="C88" s="8">
        <v>35</v>
      </c>
      <c r="D88" s="6">
        <v>30.5</v>
      </c>
      <c r="E88" s="6">
        <v>9.6</v>
      </c>
      <c r="F88" s="8">
        <v>1</v>
      </c>
      <c r="G88" s="8">
        <v>1</v>
      </c>
      <c r="H88" s="5" t="s">
        <v>1165</v>
      </c>
      <c r="I88" s="7" t="s">
        <v>63</v>
      </c>
      <c r="J88" s="5" t="s">
        <v>1544</v>
      </c>
      <c r="K88" s="5" t="s">
        <v>1545</v>
      </c>
    </row>
    <row r="89" spans="1:11" x14ac:dyDescent="0.25">
      <c r="A89" s="5" t="s">
        <v>1392</v>
      </c>
      <c r="B89" s="8">
        <v>60</v>
      </c>
      <c r="C89" s="8">
        <v>38</v>
      </c>
      <c r="D89" s="6">
        <v>41.5</v>
      </c>
      <c r="E89" s="6">
        <v>10.7</v>
      </c>
      <c r="F89" s="8">
        <v>3</v>
      </c>
      <c r="G89" s="8">
        <v>3</v>
      </c>
      <c r="H89" s="5" t="s">
        <v>1165</v>
      </c>
      <c r="I89" s="7" t="s">
        <v>63</v>
      </c>
      <c r="J89" s="5" t="s">
        <v>1544</v>
      </c>
      <c r="K89" s="5" t="s">
        <v>1545</v>
      </c>
    </row>
    <row r="90" spans="1:11" x14ac:dyDescent="0.25">
      <c r="A90" s="5" t="s">
        <v>1196</v>
      </c>
      <c r="B90" s="8">
        <v>60</v>
      </c>
      <c r="C90" s="8">
        <v>42</v>
      </c>
      <c r="D90" s="8">
        <v>42</v>
      </c>
      <c r="E90" s="6">
        <v>10.34</v>
      </c>
      <c r="F90" s="8">
        <v>1</v>
      </c>
      <c r="G90" s="8">
        <v>1</v>
      </c>
      <c r="H90" s="5" t="s">
        <v>1165</v>
      </c>
      <c r="I90" s="7" t="s">
        <v>63</v>
      </c>
      <c r="J90" s="5" t="s">
        <v>1544</v>
      </c>
      <c r="K90" s="5" t="s">
        <v>1545</v>
      </c>
    </row>
    <row r="91" spans="1:11" x14ac:dyDescent="0.25">
      <c r="A91" s="5" t="s">
        <v>1188</v>
      </c>
      <c r="B91" s="8">
        <v>60</v>
      </c>
      <c r="C91" s="8">
        <v>42</v>
      </c>
      <c r="D91" s="8">
        <v>42</v>
      </c>
      <c r="E91" s="6">
        <v>10.5</v>
      </c>
      <c r="F91" s="8">
        <v>1</v>
      </c>
      <c r="G91" s="8">
        <v>1</v>
      </c>
      <c r="H91" s="5" t="s">
        <v>1165</v>
      </c>
      <c r="I91" s="7" t="s">
        <v>63</v>
      </c>
      <c r="J91" s="5" t="s">
        <v>1544</v>
      </c>
      <c r="K91" s="5" t="s">
        <v>1545</v>
      </c>
    </row>
    <row r="92" spans="1:11" x14ac:dyDescent="0.25">
      <c r="A92" s="5" t="s">
        <v>1341</v>
      </c>
      <c r="B92" s="8">
        <v>60</v>
      </c>
      <c r="C92" s="8">
        <v>44</v>
      </c>
      <c r="D92" s="8">
        <v>32</v>
      </c>
      <c r="E92" s="8">
        <v>26</v>
      </c>
      <c r="F92" s="8">
        <v>1</v>
      </c>
      <c r="G92" s="8">
        <v>1</v>
      </c>
      <c r="H92" s="5" t="s">
        <v>1165</v>
      </c>
      <c r="I92" s="7" t="s">
        <v>63</v>
      </c>
      <c r="J92" s="5" t="s">
        <v>1544</v>
      </c>
      <c r="K92" s="5" t="s">
        <v>1545</v>
      </c>
    </row>
    <row r="93" spans="1:11" x14ac:dyDescent="0.25">
      <c r="A93" s="5" t="s">
        <v>779</v>
      </c>
      <c r="B93" s="6">
        <v>61.5</v>
      </c>
      <c r="C93" s="6">
        <v>51.5</v>
      </c>
      <c r="D93" s="8">
        <v>22</v>
      </c>
      <c r="E93" s="6">
        <v>8.6999999999999993</v>
      </c>
      <c r="F93" s="8">
        <v>1</v>
      </c>
      <c r="G93" s="8">
        <v>1</v>
      </c>
      <c r="H93" s="5" t="s">
        <v>1165</v>
      </c>
      <c r="I93" s="7" t="s">
        <v>63</v>
      </c>
      <c r="J93" s="5" t="s">
        <v>1544</v>
      </c>
      <c r="K93" s="5" t="s">
        <v>1545</v>
      </c>
    </row>
    <row r="94" spans="1:11" x14ac:dyDescent="0.25">
      <c r="A94" s="5" t="s">
        <v>1283</v>
      </c>
      <c r="B94" s="8">
        <v>63</v>
      </c>
      <c r="C94" s="8">
        <v>43</v>
      </c>
      <c r="D94" s="8">
        <v>27</v>
      </c>
      <c r="E94" s="6">
        <v>6.45</v>
      </c>
      <c r="F94" s="8">
        <v>1</v>
      </c>
      <c r="G94" s="8">
        <v>1</v>
      </c>
      <c r="H94" s="5" t="s">
        <v>1165</v>
      </c>
      <c r="I94" s="7" t="s">
        <v>63</v>
      </c>
      <c r="J94" s="5" t="s">
        <v>1544</v>
      </c>
      <c r="K94" s="5" t="s">
        <v>1545</v>
      </c>
    </row>
    <row r="95" spans="1:11" x14ac:dyDescent="0.25">
      <c r="A95" s="5" t="s">
        <v>1324</v>
      </c>
      <c r="B95" s="8">
        <v>72</v>
      </c>
      <c r="C95" s="8">
        <v>46</v>
      </c>
      <c r="D95" s="8">
        <v>17</v>
      </c>
      <c r="E95" s="6">
        <v>15.95</v>
      </c>
      <c r="F95" s="8">
        <v>1</v>
      </c>
      <c r="G95" s="8">
        <v>1</v>
      </c>
      <c r="H95" s="5" t="s">
        <v>1165</v>
      </c>
      <c r="I95" s="7" t="s">
        <v>63</v>
      </c>
      <c r="J95" s="5" t="s">
        <v>1544</v>
      </c>
      <c r="K95" s="5" t="s">
        <v>1545</v>
      </c>
    </row>
    <row r="96" spans="1:11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</row>
    <row r="97" spans="1:11" x14ac:dyDescent="0.25">
      <c r="A97" s="5" t="s">
        <v>1546</v>
      </c>
      <c r="B97" s="5" t="s">
        <v>1547</v>
      </c>
      <c r="C97" s="5"/>
      <c r="D97" s="5"/>
      <c r="E97" s="5"/>
      <c r="F97" s="5"/>
      <c r="G97" s="5"/>
      <c r="H97" s="5"/>
      <c r="I97" s="5"/>
      <c r="J97" s="5"/>
      <c r="K97" s="5"/>
    </row>
  </sheetData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5"/>
  <sheetViews>
    <sheetView workbookViewId="0"/>
  </sheetViews>
  <sheetFormatPr defaultRowHeight="15" x14ac:dyDescent="0.25"/>
  <cols>
    <col min="1" max="1" width="10" style="1" customWidth="1"/>
    <col min="2" max="3" width="22" style="1" customWidth="1"/>
    <col min="4" max="4" width="28" style="1" customWidth="1"/>
    <col min="5" max="5" width="44" style="1" customWidth="1"/>
    <col min="6" max="6" width="24" style="1" customWidth="1"/>
    <col min="7" max="7" width="20" style="1" customWidth="1"/>
    <col min="8" max="8" width="28" style="1" customWidth="1"/>
  </cols>
  <sheetData>
    <row r="1" spans="1:8" ht="24" customHeight="1" x14ac:dyDescent="0.25">
      <c r="A1" s="25" t="s">
        <v>1548</v>
      </c>
      <c r="B1" s="26"/>
      <c r="C1" s="26"/>
      <c r="D1" s="26"/>
      <c r="E1" s="26"/>
      <c r="F1" s="26"/>
      <c r="G1" s="26"/>
      <c r="H1" s="26"/>
    </row>
    <row r="3" spans="1:8" ht="30" customHeight="1" x14ac:dyDescent="0.25">
      <c r="A3" s="11" t="s">
        <v>1549</v>
      </c>
      <c r="B3" s="11" t="s">
        <v>1550</v>
      </c>
      <c r="C3" s="11" t="s">
        <v>1551</v>
      </c>
      <c r="D3" s="11" t="s">
        <v>1552</v>
      </c>
      <c r="E3" s="11" t="s">
        <v>1553</v>
      </c>
      <c r="F3" s="11" t="s">
        <v>1554</v>
      </c>
      <c r="G3" s="11" t="s">
        <v>1555</v>
      </c>
      <c r="H3" s="11" t="s">
        <v>1543</v>
      </c>
    </row>
    <row r="4" spans="1:8" ht="30" x14ac:dyDescent="0.25">
      <c r="A4" s="12">
        <v>1</v>
      </c>
      <c r="B4" s="12" t="s">
        <v>1556</v>
      </c>
      <c r="C4" s="12" t="s">
        <v>1557</v>
      </c>
      <c r="D4" s="12" t="s">
        <v>1558</v>
      </c>
      <c r="E4" s="12" t="s">
        <v>1559</v>
      </c>
      <c r="F4" s="12" t="s">
        <v>1560</v>
      </c>
      <c r="G4" s="12" t="s">
        <v>1561</v>
      </c>
      <c r="H4" s="12" t="s">
        <v>1562</v>
      </c>
    </row>
    <row r="5" spans="1:8" ht="30" x14ac:dyDescent="0.25">
      <c r="A5" s="12">
        <v>2</v>
      </c>
      <c r="B5" s="12" t="s">
        <v>1563</v>
      </c>
      <c r="C5" s="12" t="s">
        <v>1564</v>
      </c>
      <c r="D5" s="12" t="s">
        <v>1565</v>
      </c>
      <c r="E5" s="12" t="s">
        <v>1566</v>
      </c>
      <c r="F5" s="12" t="s">
        <v>1567</v>
      </c>
      <c r="G5" s="12" t="s">
        <v>1568</v>
      </c>
      <c r="H5" s="12" t="s">
        <v>1569</v>
      </c>
    </row>
    <row r="6" spans="1:8" ht="45" x14ac:dyDescent="0.25">
      <c r="A6" s="12">
        <v>3</v>
      </c>
      <c r="B6" s="12" t="s">
        <v>1570</v>
      </c>
      <c r="C6" s="12" t="s">
        <v>1567</v>
      </c>
      <c r="D6" s="12" t="s">
        <v>1571</v>
      </c>
      <c r="E6" s="12" t="s">
        <v>1572</v>
      </c>
      <c r="F6" s="12" t="s">
        <v>1573</v>
      </c>
      <c r="G6" s="12" t="s">
        <v>1574</v>
      </c>
      <c r="H6" s="12" t="s">
        <v>1575</v>
      </c>
    </row>
    <row r="7" spans="1:8" ht="30" x14ac:dyDescent="0.25">
      <c r="A7" s="12">
        <v>4</v>
      </c>
      <c r="B7" s="12" t="s">
        <v>1576</v>
      </c>
      <c r="C7" s="12" t="s">
        <v>1573</v>
      </c>
      <c r="D7" s="12" t="s">
        <v>1577</v>
      </c>
      <c r="E7" s="12" t="s">
        <v>1578</v>
      </c>
      <c r="F7" s="12" t="s">
        <v>1579</v>
      </c>
      <c r="G7" s="12" t="s">
        <v>1580</v>
      </c>
      <c r="H7" s="12" t="s">
        <v>1581</v>
      </c>
    </row>
    <row r="8" spans="1:8" ht="30" x14ac:dyDescent="0.25">
      <c r="A8" s="12">
        <v>5</v>
      </c>
      <c r="B8" s="12" t="s">
        <v>1582</v>
      </c>
      <c r="C8" s="12" t="s">
        <v>1583</v>
      </c>
      <c r="D8" s="12" t="s">
        <v>1584</v>
      </c>
      <c r="E8" s="12" t="s">
        <v>1585</v>
      </c>
      <c r="F8" s="12" t="s">
        <v>1586</v>
      </c>
      <c r="G8" s="12" t="s">
        <v>1587</v>
      </c>
      <c r="H8" s="12" t="s">
        <v>1588</v>
      </c>
    </row>
    <row r="9" spans="1:8" ht="30" x14ac:dyDescent="0.25">
      <c r="A9" s="12">
        <v>6</v>
      </c>
      <c r="B9" s="12" t="s">
        <v>1589</v>
      </c>
      <c r="C9" s="12" t="s">
        <v>1590</v>
      </c>
      <c r="D9" s="12" t="s">
        <v>1591</v>
      </c>
      <c r="E9" s="12" t="s">
        <v>1592</v>
      </c>
      <c r="F9" s="12" t="s">
        <v>1593</v>
      </c>
      <c r="G9" s="12" t="s">
        <v>1594</v>
      </c>
      <c r="H9" s="12" t="s">
        <v>1595</v>
      </c>
    </row>
    <row r="10" spans="1:8" ht="45" x14ac:dyDescent="0.25">
      <c r="A10" s="12">
        <v>7</v>
      </c>
      <c r="B10" s="12" t="s">
        <v>1596</v>
      </c>
      <c r="C10" s="12" t="s">
        <v>1597</v>
      </c>
      <c r="D10" s="12" t="s">
        <v>1598</v>
      </c>
      <c r="E10" s="12" t="s">
        <v>1599</v>
      </c>
      <c r="F10" s="12" t="s">
        <v>1600</v>
      </c>
      <c r="G10" s="12" t="s">
        <v>1601</v>
      </c>
      <c r="H10" s="12" t="s">
        <v>1602</v>
      </c>
    </row>
    <row r="11" spans="1:8" x14ac:dyDescent="0.25">
      <c r="A11" s="12">
        <v>8</v>
      </c>
      <c r="B11" s="12" t="s">
        <v>1603</v>
      </c>
      <c r="C11" s="12" t="s">
        <v>1604</v>
      </c>
      <c r="D11" s="12" t="s">
        <v>1605</v>
      </c>
      <c r="E11" s="12" t="s">
        <v>1606</v>
      </c>
      <c r="F11" s="12" t="s">
        <v>1607</v>
      </c>
      <c r="G11" s="12" t="s">
        <v>1608</v>
      </c>
      <c r="H11" s="12" t="s">
        <v>1609</v>
      </c>
    </row>
    <row r="12" spans="1:8" ht="30" x14ac:dyDescent="0.25">
      <c r="A12" s="12">
        <v>9</v>
      </c>
      <c r="B12" s="12" t="s">
        <v>1610</v>
      </c>
      <c r="C12" s="12" t="s">
        <v>1611</v>
      </c>
      <c r="D12" s="12" t="s">
        <v>1605</v>
      </c>
      <c r="E12" s="12" t="s">
        <v>1612</v>
      </c>
      <c r="F12" s="12" t="s">
        <v>1613</v>
      </c>
      <c r="G12" s="12" t="s">
        <v>1614</v>
      </c>
      <c r="H12" s="12" t="s">
        <v>1615</v>
      </c>
    </row>
    <row r="13" spans="1:8" ht="30" x14ac:dyDescent="0.25">
      <c r="A13" s="12">
        <v>10</v>
      </c>
      <c r="B13" s="12" t="s">
        <v>1616</v>
      </c>
      <c r="C13" s="12" t="s">
        <v>1617</v>
      </c>
      <c r="D13" s="12" t="s">
        <v>1618</v>
      </c>
      <c r="E13" s="12" t="s">
        <v>1619</v>
      </c>
      <c r="F13" s="12" t="s">
        <v>1620</v>
      </c>
      <c r="G13" s="12" t="s">
        <v>1614</v>
      </c>
      <c r="H13" s="12" t="s">
        <v>1621</v>
      </c>
    </row>
    <row r="14" spans="1:8" x14ac:dyDescent="0.25">
      <c r="A14" s="12">
        <v>11</v>
      </c>
      <c r="B14" s="12" t="s">
        <v>1622</v>
      </c>
      <c r="C14" s="12" t="s">
        <v>1620</v>
      </c>
      <c r="D14" s="12" t="s">
        <v>1623</v>
      </c>
      <c r="E14" s="12" t="s">
        <v>1624</v>
      </c>
      <c r="F14" s="12" t="s">
        <v>1625</v>
      </c>
      <c r="G14" s="12" t="s">
        <v>1626</v>
      </c>
      <c r="H14" s="12" t="s">
        <v>1627</v>
      </c>
    </row>
    <row r="15" spans="1:8" x14ac:dyDescent="0.25">
      <c r="A15" s="12">
        <v>12</v>
      </c>
      <c r="B15" s="12" t="s">
        <v>1628</v>
      </c>
      <c r="C15" s="12" t="s">
        <v>1625</v>
      </c>
      <c r="D15" s="12" t="s">
        <v>1623</v>
      </c>
      <c r="E15" s="12" t="s">
        <v>1629</v>
      </c>
      <c r="F15" s="12" t="s">
        <v>1630</v>
      </c>
      <c r="G15" s="12" t="s">
        <v>1614</v>
      </c>
      <c r="H15" s="12" t="s">
        <v>1631</v>
      </c>
    </row>
  </sheetData>
  <mergeCells count="1">
    <mergeCell ref="A1:H1"/>
  </mergeCells>
  <phoneticPr fontId="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8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24" style="1" customWidth="1"/>
    <col min="2" max="2" width="18" style="1" customWidth="1"/>
    <col min="3" max="4" width="12" style="1" customWidth="1"/>
    <col min="5" max="5" width="10" style="1" customWidth="1"/>
    <col min="6" max="6" width="28" style="1" customWidth="1"/>
    <col min="7" max="7" width="34" style="1" customWidth="1"/>
    <col min="8" max="8" width="26" style="1" customWidth="1"/>
  </cols>
  <sheetData>
    <row r="1" spans="1:8" x14ac:dyDescent="0.25">
      <c r="A1" s="25" t="s">
        <v>1632</v>
      </c>
      <c r="B1" s="26"/>
      <c r="C1" s="26"/>
      <c r="D1" s="26"/>
      <c r="E1" s="26"/>
      <c r="F1" s="26"/>
      <c r="G1" s="26"/>
      <c r="H1" s="26"/>
    </row>
    <row r="3" spans="1:8" x14ac:dyDescent="0.25">
      <c r="A3" s="11" t="s">
        <v>1633</v>
      </c>
      <c r="B3" s="11" t="s">
        <v>1634</v>
      </c>
      <c r="C3" s="11" t="s">
        <v>1635</v>
      </c>
      <c r="D3" s="11" t="s">
        <v>1636</v>
      </c>
      <c r="E3" s="11" t="s">
        <v>1637</v>
      </c>
      <c r="F3" s="11" t="s">
        <v>1638</v>
      </c>
      <c r="G3" s="11" t="s">
        <v>1639</v>
      </c>
      <c r="H3" s="11" t="s">
        <v>1640</v>
      </c>
    </row>
    <row r="4" spans="1:8" x14ac:dyDescent="0.25">
      <c r="A4" s="16" t="s">
        <v>1641</v>
      </c>
      <c r="B4" s="16" t="s">
        <v>1642</v>
      </c>
      <c r="C4" s="16" t="s">
        <v>1643</v>
      </c>
      <c r="D4" s="16" t="s">
        <v>1644</v>
      </c>
      <c r="E4" s="16" t="s">
        <v>61</v>
      </c>
      <c r="F4" s="16" t="s">
        <v>1645</v>
      </c>
      <c r="G4" s="16" t="s">
        <v>1646</v>
      </c>
      <c r="H4" s="16" t="s">
        <v>1647</v>
      </c>
    </row>
    <row r="5" spans="1:8" x14ac:dyDescent="0.25">
      <c r="A5" s="16" t="s">
        <v>1648</v>
      </c>
      <c r="B5" s="16" t="s">
        <v>1649</v>
      </c>
      <c r="C5" s="16" t="s">
        <v>1643</v>
      </c>
      <c r="D5" s="16" t="s">
        <v>1644</v>
      </c>
      <c r="E5" s="16" t="s">
        <v>63</v>
      </c>
      <c r="F5" s="16" t="s">
        <v>1650</v>
      </c>
      <c r="G5" s="16" t="s">
        <v>1651</v>
      </c>
      <c r="H5" s="16" t="s">
        <v>1652</v>
      </c>
    </row>
    <row r="6" spans="1:8" ht="45" x14ac:dyDescent="0.25">
      <c r="A6" s="16" t="s">
        <v>1653</v>
      </c>
      <c r="B6" s="16" t="s">
        <v>1654</v>
      </c>
      <c r="C6" s="16" t="s">
        <v>1643</v>
      </c>
      <c r="D6" s="16" t="s">
        <v>1644</v>
      </c>
      <c r="E6" s="16" t="s">
        <v>61</v>
      </c>
      <c r="F6" s="16" t="s">
        <v>1655</v>
      </c>
      <c r="G6" s="16" t="s">
        <v>1656</v>
      </c>
      <c r="H6" s="16" t="s">
        <v>1657</v>
      </c>
    </row>
    <row r="7" spans="1:8" x14ac:dyDescent="0.25">
      <c r="A7" s="16" t="s">
        <v>1658</v>
      </c>
      <c r="B7" s="16" t="s">
        <v>1659</v>
      </c>
      <c r="C7" s="16" t="s">
        <v>1643</v>
      </c>
      <c r="D7" s="16" t="s">
        <v>1660</v>
      </c>
      <c r="E7" s="16" t="s">
        <v>61</v>
      </c>
      <c r="F7" s="16" t="s">
        <v>1661</v>
      </c>
      <c r="G7" s="16" t="s">
        <v>1662</v>
      </c>
      <c r="H7" s="16" t="s">
        <v>1663</v>
      </c>
    </row>
    <row r="8" spans="1:8" x14ac:dyDescent="0.25">
      <c r="A8" s="16" t="s">
        <v>1664</v>
      </c>
      <c r="B8" s="16" t="s">
        <v>1665</v>
      </c>
      <c r="C8" s="16" t="s">
        <v>1643</v>
      </c>
      <c r="D8" s="16" t="s">
        <v>1644</v>
      </c>
      <c r="E8" s="16" t="s">
        <v>63</v>
      </c>
      <c r="F8" s="16" t="s">
        <v>1666</v>
      </c>
      <c r="G8" s="16" t="s">
        <v>1667</v>
      </c>
      <c r="H8" s="16" t="s">
        <v>1668</v>
      </c>
    </row>
    <row r="9" spans="1:8" x14ac:dyDescent="0.25">
      <c r="A9" s="16" t="s">
        <v>1669</v>
      </c>
      <c r="B9" s="16" t="s">
        <v>1670</v>
      </c>
      <c r="C9" s="16" t="s">
        <v>1671</v>
      </c>
      <c r="D9" s="16" t="s">
        <v>1671</v>
      </c>
      <c r="E9" s="16" t="s">
        <v>61</v>
      </c>
      <c r="F9" s="16" t="s">
        <v>1672</v>
      </c>
      <c r="G9" s="16" t="s">
        <v>1673</v>
      </c>
      <c r="H9" s="16" t="s">
        <v>1674</v>
      </c>
    </row>
    <row r="10" spans="1:8" ht="30" x14ac:dyDescent="0.25">
      <c r="A10" s="16" t="s">
        <v>1675</v>
      </c>
      <c r="B10" s="16" t="s">
        <v>1676</v>
      </c>
      <c r="C10" s="16" t="s">
        <v>1677</v>
      </c>
      <c r="D10" s="16" t="s">
        <v>1678</v>
      </c>
      <c r="E10" s="16" t="s">
        <v>61</v>
      </c>
      <c r="F10" s="16" t="s">
        <v>1679</v>
      </c>
      <c r="G10" s="16" t="s">
        <v>1680</v>
      </c>
      <c r="H10" s="16" t="s">
        <v>1681</v>
      </c>
    </row>
    <row r="11" spans="1:8" ht="30" x14ac:dyDescent="0.25">
      <c r="A11" s="16" t="s">
        <v>1682</v>
      </c>
      <c r="B11" s="16" t="s">
        <v>41</v>
      </c>
      <c r="C11" s="16" t="s">
        <v>1677</v>
      </c>
      <c r="D11" s="16" t="s">
        <v>1644</v>
      </c>
      <c r="E11" s="16" t="s">
        <v>63</v>
      </c>
      <c r="F11" s="16" t="s">
        <v>1683</v>
      </c>
      <c r="G11" s="16" t="s">
        <v>1684</v>
      </c>
      <c r="H11" s="16" t="s">
        <v>1685</v>
      </c>
    </row>
    <row r="12" spans="1:8" ht="30" x14ac:dyDescent="0.25">
      <c r="A12" s="16" t="s">
        <v>1686</v>
      </c>
      <c r="B12" s="16" t="s">
        <v>1687</v>
      </c>
      <c r="C12" s="16" t="s">
        <v>1677</v>
      </c>
      <c r="D12" s="16" t="s">
        <v>1644</v>
      </c>
      <c r="E12" s="16" t="s">
        <v>63</v>
      </c>
      <c r="F12" s="16" t="s">
        <v>1688</v>
      </c>
      <c r="G12" s="16" t="s">
        <v>1684</v>
      </c>
      <c r="H12" s="16" t="s">
        <v>1685</v>
      </c>
    </row>
    <row r="13" spans="1:8" x14ac:dyDescent="0.25">
      <c r="A13" s="16" t="s">
        <v>1689</v>
      </c>
      <c r="B13" s="16" t="s">
        <v>1690</v>
      </c>
      <c r="C13" s="16" t="s">
        <v>1677</v>
      </c>
      <c r="D13" s="16" t="s">
        <v>1678</v>
      </c>
      <c r="E13" s="16" t="s">
        <v>61</v>
      </c>
      <c r="F13" s="16" t="s">
        <v>1691</v>
      </c>
      <c r="G13" s="16" t="s">
        <v>1692</v>
      </c>
      <c r="H13" s="16" t="s">
        <v>1693</v>
      </c>
    </row>
    <row r="14" spans="1:8" ht="30" x14ac:dyDescent="0.25">
      <c r="A14" s="16" t="s">
        <v>1694</v>
      </c>
      <c r="B14" s="16" t="s">
        <v>1695</v>
      </c>
      <c r="C14" s="16" t="s">
        <v>1696</v>
      </c>
      <c r="D14" s="16" t="s">
        <v>1660</v>
      </c>
      <c r="E14" s="16" t="s">
        <v>63</v>
      </c>
      <c r="F14" s="16" t="s">
        <v>1697</v>
      </c>
      <c r="G14" s="16" t="s">
        <v>1698</v>
      </c>
      <c r="H14" s="16" t="s">
        <v>1699</v>
      </c>
    </row>
    <row r="15" spans="1:8" ht="45" x14ac:dyDescent="0.25">
      <c r="A15" s="16" t="s">
        <v>1700</v>
      </c>
      <c r="B15" s="16" t="s">
        <v>1701</v>
      </c>
      <c r="C15" s="16" t="s">
        <v>1696</v>
      </c>
      <c r="D15" s="16" t="s">
        <v>1660</v>
      </c>
      <c r="E15" s="16" t="s">
        <v>63</v>
      </c>
      <c r="F15" s="16" t="s">
        <v>1702</v>
      </c>
      <c r="G15" s="16" t="s">
        <v>1703</v>
      </c>
      <c r="H15" s="16" t="s">
        <v>1704</v>
      </c>
    </row>
    <row r="16" spans="1:8" ht="30" x14ac:dyDescent="0.25">
      <c r="A16" s="16" t="s">
        <v>1705</v>
      </c>
      <c r="B16" s="16" t="s">
        <v>1706</v>
      </c>
      <c r="C16" s="16" t="s">
        <v>1696</v>
      </c>
      <c r="D16" s="16" t="s">
        <v>1660</v>
      </c>
      <c r="E16" s="16" t="s">
        <v>63</v>
      </c>
      <c r="F16" s="16" t="s">
        <v>1702</v>
      </c>
      <c r="G16" s="16" t="s">
        <v>1703</v>
      </c>
      <c r="H16" s="16" t="s">
        <v>1707</v>
      </c>
    </row>
    <row r="17" spans="1:8" ht="30" x14ac:dyDescent="0.25">
      <c r="A17" s="16" t="s">
        <v>1708</v>
      </c>
      <c r="B17" s="16" t="s">
        <v>1709</v>
      </c>
      <c r="C17" s="16" t="s">
        <v>1696</v>
      </c>
      <c r="D17" s="16" t="s">
        <v>1678</v>
      </c>
      <c r="E17" s="16" t="s">
        <v>63</v>
      </c>
      <c r="F17" s="16" t="s">
        <v>1710</v>
      </c>
      <c r="G17" s="16" t="s">
        <v>1711</v>
      </c>
      <c r="H17" s="16" t="s">
        <v>1712</v>
      </c>
    </row>
    <row r="18" spans="1:8" ht="30" x14ac:dyDescent="0.25">
      <c r="A18" s="16" t="s">
        <v>1713</v>
      </c>
      <c r="B18" s="16" t="s">
        <v>1714</v>
      </c>
      <c r="C18" s="16" t="s">
        <v>1696</v>
      </c>
      <c r="D18" s="16" t="s">
        <v>1644</v>
      </c>
      <c r="E18" s="16" t="s">
        <v>63</v>
      </c>
      <c r="F18" s="16" t="s">
        <v>1715</v>
      </c>
      <c r="G18" s="16" t="s">
        <v>1716</v>
      </c>
      <c r="H18" s="16" t="s">
        <v>1717</v>
      </c>
    </row>
  </sheetData>
  <mergeCells count="1">
    <mergeCell ref="A1:H1"/>
  </mergeCells>
  <phoneticPr fontId="4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27"/>
  <sheetViews>
    <sheetView workbookViewId="0"/>
  </sheetViews>
  <sheetFormatPr defaultRowHeight="15" x14ac:dyDescent="0.25"/>
  <cols>
    <col min="1" max="1" width="24" style="1" customWidth="1"/>
    <col min="2" max="2" width="18" style="1" customWidth="1"/>
    <col min="3" max="4" width="12" style="1" customWidth="1"/>
    <col min="5" max="5" width="10" style="1" customWidth="1"/>
    <col min="6" max="6" width="28" style="1" customWidth="1"/>
    <col min="7" max="7" width="34" style="1" customWidth="1"/>
    <col min="8" max="8" width="26" style="1" customWidth="1"/>
  </cols>
  <sheetData>
    <row r="1" spans="1:8" ht="24" customHeight="1" x14ac:dyDescent="0.25">
      <c r="A1" s="25" t="s">
        <v>1718</v>
      </c>
      <c r="B1" s="26"/>
      <c r="C1" s="26"/>
      <c r="D1" s="26"/>
      <c r="E1" s="26"/>
      <c r="F1" s="26"/>
      <c r="G1" s="26"/>
      <c r="H1" s="26"/>
    </row>
    <row r="3" spans="1:8" ht="30" customHeight="1" x14ac:dyDescent="0.25">
      <c r="A3" s="11" t="s">
        <v>1719</v>
      </c>
      <c r="B3" s="11" t="s">
        <v>1634</v>
      </c>
      <c r="C3" s="11" t="s">
        <v>1635</v>
      </c>
      <c r="D3" s="11" t="s">
        <v>1636</v>
      </c>
      <c r="E3" s="11" t="s">
        <v>1637</v>
      </c>
      <c r="F3" s="11" t="s">
        <v>1720</v>
      </c>
      <c r="G3" s="11" t="s">
        <v>1721</v>
      </c>
      <c r="H3" s="11" t="s">
        <v>1640</v>
      </c>
    </row>
    <row r="4" spans="1:8" x14ac:dyDescent="0.25">
      <c r="A4" s="12" t="s">
        <v>1722</v>
      </c>
      <c r="B4" s="12" t="s">
        <v>1649</v>
      </c>
      <c r="C4" s="12" t="s">
        <v>1643</v>
      </c>
      <c r="D4" s="12" t="s">
        <v>1644</v>
      </c>
      <c r="E4" s="12" t="s">
        <v>61</v>
      </c>
      <c r="F4" s="12" t="s">
        <v>1723</v>
      </c>
      <c r="G4" s="12" t="s">
        <v>1724</v>
      </c>
      <c r="H4" s="12" t="s">
        <v>1725</v>
      </c>
    </row>
    <row r="5" spans="1:8" x14ac:dyDescent="0.25">
      <c r="A5" s="12" t="s">
        <v>1726</v>
      </c>
      <c r="B5" s="12" t="s">
        <v>1676</v>
      </c>
      <c r="C5" s="12" t="s">
        <v>1677</v>
      </c>
      <c r="D5" s="12" t="s">
        <v>1678</v>
      </c>
      <c r="E5" s="12" t="s">
        <v>61</v>
      </c>
      <c r="F5" s="12" t="s">
        <v>1727</v>
      </c>
      <c r="G5" s="12" t="s">
        <v>1728</v>
      </c>
      <c r="H5" s="12" t="s">
        <v>1729</v>
      </c>
    </row>
    <row r="6" spans="1:8" x14ac:dyDescent="0.25">
      <c r="A6" s="12" t="s">
        <v>1730</v>
      </c>
      <c r="B6" s="12" t="s">
        <v>1731</v>
      </c>
      <c r="C6" s="12" t="s">
        <v>1677</v>
      </c>
      <c r="D6" s="12" t="s">
        <v>1644</v>
      </c>
      <c r="E6" s="12" t="s">
        <v>61</v>
      </c>
      <c r="F6" s="12" t="s">
        <v>1727</v>
      </c>
      <c r="G6" s="12" t="s">
        <v>1732</v>
      </c>
      <c r="H6" s="12" t="s">
        <v>1733</v>
      </c>
    </row>
    <row r="7" spans="1:8" x14ac:dyDescent="0.25">
      <c r="A7" s="12" t="s">
        <v>1734</v>
      </c>
      <c r="B7" s="12" t="s">
        <v>1735</v>
      </c>
      <c r="C7" s="12" t="s">
        <v>1677</v>
      </c>
      <c r="D7" s="12" t="s">
        <v>1644</v>
      </c>
      <c r="E7" s="12" t="s">
        <v>63</v>
      </c>
      <c r="F7" s="12" t="s">
        <v>1727</v>
      </c>
      <c r="G7" s="12" t="s">
        <v>1732</v>
      </c>
      <c r="H7" s="12" t="s">
        <v>1736</v>
      </c>
    </row>
    <row r="8" spans="1:8" x14ac:dyDescent="0.25">
      <c r="A8" s="12" t="s">
        <v>1737</v>
      </c>
      <c r="B8" s="12" t="s">
        <v>1738</v>
      </c>
      <c r="C8" s="12" t="s">
        <v>1677</v>
      </c>
      <c r="D8" s="12" t="s">
        <v>1644</v>
      </c>
      <c r="E8" s="12" t="s">
        <v>61</v>
      </c>
      <c r="F8" s="12" t="s">
        <v>1558</v>
      </c>
      <c r="G8" s="12" t="s">
        <v>1739</v>
      </c>
      <c r="H8" s="12" t="s">
        <v>1740</v>
      </c>
    </row>
    <row r="9" spans="1:8" ht="30" x14ac:dyDescent="0.25">
      <c r="A9" s="12" t="s">
        <v>1741</v>
      </c>
      <c r="B9" s="12" t="s">
        <v>1742</v>
      </c>
      <c r="C9" s="12" t="s">
        <v>1677</v>
      </c>
      <c r="D9" s="12" t="s">
        <v>1644</v>
      </c>
      <c r="E9" s="12" t="s">
        <v>61</v>
      </c>
      <c r="F9" s="12" t="s">
        <v>1743</v>
      </c>
      <c r="G9" s="12" t="s">
        <v>1744</v>
      </c>
      <c r="H9" s="12" t="s">
        <v>1745</v>
      </c>
    </row>
    <row r="10" spans="1:8" x14ac:dyDescent="0.25">
      <c r="A10" s="12" t="s">
        <v>1746</v>
      </c>
      <c r="B10" s="12" t="s">
        <v>1747</v>
      </c>
      <c r="C10" s="12" t="s">
        <v>1748</v>
      </c>
      <c r="D10" s="12" t="s">
        <v>1678</v>
      </c>
      <c r="E10" s="12" t="s">
        <v>61</v>
      </c>
      <c r="F10" s="12" t="s">
        <v>1723</v>
      </c>
      <c r="G10" s="12" t="s">
        <v>1749</v>
      </c>
      <c r="H10" s="12" t="s">
        <v>1750</v>
      </c>
    </row>
    <row r="11" spans="1:8" ht="30" x14ac:dyDescent="0.25">
      <c r="A11" s="12" t="s">
        <v>1751</v>
      </c>
      <c r="B11" s="12" t="s">
        <v>1752</v>
      </c>
      <c r="C11" s="12" t="s">
        <v>1748</v>
      </c>
      <c r="D11" s="12" t="s">
        <v>1644</v>
      </c>
      <c r="E11" s="12" t="s">
        <v>61</v>
      </c>
      <c r="F11" s="12" t="s">
        <v>1723</v>
      </c>
      <c r="G11" s="12" t="s">
        <v>1753</v>
      </c>
      <c r="H11" s="12" t="s">
        <v>1754</v>
      </c>
    </row>
    <row r="12" spans="1:8" ht="30" x14ac:dyDescent="0.25">
      <c r="A12" s="12" t="s">
        <v>1755</v>
      </c>
      <c r="B12" s="12" t="s">
        <v>1756</v>
      </c>
      <c r="C12" s="12" t="s">
        <v>1748</v>
      </c>
      <c r="D12" s="12" t="s">
        <v>1644</v>
      </c>
      <c r="E12" s="12" t="s">
        <v>61</v>
      </c>
      <c r="F12" s="12" t="s">
        <v>1757</v>
      </c>
      <c r="G12" s="12" t="s">
        <v>1758</v>
      </c>
      <c r="H12" s="12" t="s">
        <v>1759</v>
      </c>
    </row>
    <row r="13" spans="1:8" ht="30" x14ac:dyDescent="0.25">
      <c r="A13" s="12" t="s">
        <v>1760</v>
      </c>
      <c r="B13" s="12" t="s">
        <v>1761</v>
      </c>
      <c r="C13" s="12" t="s">
        <v>1748</v>
      </c>
      <c r="D13" s="12" t="s">
        <v>1644</v>
      </c>
      <c r="E13" s="12" t="s">
        <v>63</v>
      </c>
      <c r="F13" s="12" t="s">
        <v>1757</v>
      </c>
      <c r="G13" s="12" t="s">
        <v>1762</v>
      </c>
      <c r="H13" s="12" t="s">
        <v>1763</v>
      </c>
    </row>
    <row r="14" spans="1:8" x14ac:dyDescent="0.25">
      <c r="A14" s="12" t="s">
        <v>1764</v>
      </c>
      <c r="B14" s="12" t="s">
        <v>1065</v>
      </c>
      <c r="C14" s="12" t="s">
        <v>1748</v>
      </c>
      <c r="D14" s="12" t="s">
        <v>1678</v>
      </c>
      <c r="E14" s="12" t="s">
        <v>61</v>
      </c>
      <c r="F14" s="12" t="s">
        <v>1765</v>
      </c>
      <c r="G14" s="12" t="s">
        <v>1766</v>
      </c>
      <c r="H14" s="12" t="s">
        <v>1767</v>
      </c>
    </row>
    <row r="15" spans="1:8" x14ac:dyDescent="0.25">
      <c r="A15" s="12" t="s">
        <v>1768</v>
      </c>
      <c r="B15" s="12" t="s">
        <v>1066</v>
      </c>
      <c r="C15" s="12" t="s">
        <v>1748</v>
      </c>
      <c r="D15" s="12" t="s">
        <v>1678</v>
      </c>
      <c r="E15" s="12" t="s">
        <v>61</v>
      </c>
      <c r="F15" s="12" t="s">
        <v>1765</v>
      </c>
      <c r="G15" s="12" t="s">
        <v>1766</v>
      </c>
      <c r="H15" s="12" t="s">
        <v>1767</v>
      </c>
    </row>
    <row r="16" spans="1:8" x14ac:dyDescent="0.25">
      <c r="A16" s="12" t="s">
        <v>1769</v>
      </c>
      <c r="B16" s="12" t="s">
        <v>1067</v>
      </c>
      <c r="C16" s="12" t="s">
        <v>1748</v>
      </c>
      <c r="D16" s="12" t="s">
        <v>1678</v>
      </c>
      <c r="E16" s="12" t="s">
        <v>61</v>
      </c>
      <c r="F16" s="12" t="s">
        <v>1765</v>
      </c>
      <c r="G16" s="12" t="s">
        <v>1766</v>
      </c>
      <c r="H16" s="12" t="s">
        <v>1767</v>
      </c>
    </row>
    <row r="17" spans="1:8" x14ac:dyDescent="0.25">
      <c r="A17" s="12" t="s">
        <v>1770</v>
      </c>
      <c r="B17" s="12" t="s">
        <v>1771</v>
      </c>
      <c r="C17" s="12" t="s">
        <v>1772</v>
      </c>
      <c r="D17" s="12" t="s">
        <v>1678</v>
      </c>
      <c r="E17" s="12" t="s">
        <v>61</v>
      </c>
      <c r="F17" s="12" t="s">
        <v>1723</v>
      </c>
      <c r="G17" s="12" t="s">
        <v>1773</v>
      </c>
      <c r="H17" s="12" t="s">
        <v>1774</v>
      </c>
    </row>
    <row r="18" spans="1:8" x14ac:dyDescent="0.25">
      <c r="A18" s="12" t="s">
        <v>1775</v>
      </c>
      <c r="B18" s="12" t="s">
        <v>1776</v>
      </c>
      <c r="C18" s="12" t="s">
        <v>1748</v>
      </c>
      <c r="D18" s="12" t="s">
        <v>1678</v>
      </c>
      <c r="E18" s="12" t="s">
        <v>61</v>
      </c>
      <c r="F18" s="12" t="s">
        <v>1723</v>
      </c>
      <c r="G18" s="12" t="s">
        <v>1777</v>
      </c>
      <c r="H18" s="12" t="s">
        <v>1778</v>
      </c>
    </row>
    <row r="19" spans="1:8" x14ac:dyDescent="0.25">
      <c r="A19" s="12" t="s">
        <v>1779</v>
      </c>
      <c r="B19" s="12" t="s">
        <v>1780</v>
      </c>
      <c r="C19" s="12" t="s">
        <v>1677</v>
      </c>
      <c r="D19" s="12" t="s">
        <v>1644</v>
      </c>
      <c r="E19" s="12" t="s">
        <v>61</v>
      </c>
      <c r="F19" s="12" t="s">
        <v>1544</v>
      </c>
      <c r="G19" s="12" t="s">
        <v>1781</v>
      </c>
      <c r="H19" s="12" t="s">
        <v>1782</v>
      </c>
    </row>
    <row r="20" spans="1:8" ht="30" x14ac:dyDescent="0.25">
      <c r="A20" s="12" t="s">
        <v>1783</v>
      </c>
      <c r="B20" s="12" t="s">
        <v>1784</v>
      </c>
      <c r="C20" s="12" t="s">
        <v>1677</v>
      </c>
      <c r="D20" s="12" t="s">
        <v>1644</v>
      </c>
      <c r="E20" s="12" t="s">
        <v>61</v>
      </c>
      <c r="F20" s="12" t="s">
        <v>1785</v>
      </c>
      <c r="G20" s="12" t="s">
        <v>1781</v>
      </c>
      <c r="H20" s="12" t="s">
        <v>1786</v>
      </c>
    </row>
    <row r="21" spans="1:8" ht="30" x14ac:dyDescent="0.25">
      <c r="A21" s="12" t="s">
        <v>1787</v>
      </c>
      <c r="B21" s="12" t="s">
        <v>1788</v>
      </c>
      <c r="C21" s="12" t="s">
        <v>1677</v>
      </c>
      <c r="D21" s="12" t="s">
        <v>1644</v>
      </c>
      <c r="E21" s="12" t="s">
        <v>61</v>
      </c>
      <c r="F21" s="12" t="s">
        <v>1789</v>
      </c>
      <c r="G21" s="12" t="s">
        <v>1781</v>
      </c>
      <c r="H21" s="12" t="s">
        <v>1790</v>
      </c>
    </row>
    <row r="22" spans="1:8" x14ac:dyDescent="0.25">
      <c r="A22" s="12" t="s">
        <v>1791</v>
      </c>
      <c r="B22" s="12" t="s">
        <v>1792</v>
      </c>
      <c r="C22" s="12" t="s">
        <v>1748</v>
      </c>
      <c r="D22" s="12" t="s">
        <v>1678</v>
      </c>
      <c r="E22" s="12" t="s">
        <v>63</v>
      </c>
      <c r="F22" s="12" t="s">
        <v>1723</v>
      </c>
      <c r="G22" s="12" t="s">
        <v>1793</v>
      </c>
      <c r="H22" s="12" t="s">
        <v>1794</v>
      </c>
    </row>
    <row r="23" spans="1:8" x14ac:dyDescent="0.25">
      <c r="A23" s="12" t="s">
        <v>1795</v>
      </c>
      <c r="B23" s="12" t="s">
        <v>1796</v>
      </c>
      <c r="C23" s="12" t="s">
        <v>1748</v>
      </c>
      <c r="D23" s="12" t="s">
        <v>1644</v>
      </c>
      <c r="E23" s="12" t="s">
        <v>63</v>
      </c>
      <c r="F23" s="12" t="s">
        <v>1723</v>
      </c>
      <c r="G23" s="12" t="s">
        <v>1797</v>
      </c>
      <c r="H23" s="12" t="s">
        <v>1798</v>
      </c>
    </row>
    <row r="24" spans="1:8" x14ac:dyDescent="0.25">
      <c r="A24" s="12" t="s">
        <v>1799</v>
      </c>
      <c r="B24" s="12" t="s">
        <v>1800</v>
      </c>
      <c r="C24" s="12" t="s">
        <v>1748</v>
      </c>
      <c r="D24" s="12" t="s">
        <v>1678</v>
      </c>
      <c r="E24" s="12" t="s">
        <v>63</v>
      </c>
      <c r="F24" s="12" t="s">
        <v>1723</v>
      </c>
      <c r="G24" s="12" t="s">
        <v>1801</v>
      </c>
      <c r="H24" s="12" t="s">
        <v>1802</v>
      </c>
    </row>
    <row r="25" spans="1:8" x14ac:dyDescent="0.25">
      <c r="A25" s="12" t="s">
        <v>1803</v>
      </c>
      <c r="B25" s="12" t="s">
        <v>1804</v>
      </c>
      <c r="C25" s="12" t="s">
        <v>1748</v>
      </c>
      <c r="D25" s="12" t="s">
        <v>1644</v>
      </c>
      <c r="E25" s="12" t="s">
        <v>61</v>
      </c>
      <c r="F25" s="12" t="s">
        <v>1723</v>
      </c>
      <c r="G25" s="12" t="s">
        <v>1805</v>
      </c>
      <c r="H25" s="12" t="s">
        <v>1806</v>
      </c>
    </row>
    <row r="26" spans="1:8" ht="30" x14ac:dyDescent="0.25">
      <c r="A26" s="12" t="s">
        <v>1807</v>
      </c>
      <c r="B26" s="12" t="s">
        <v>1808</v>
      </c>
      <c r="C26" s="12" t="s">
        <v>1748</v>
      </c>
      <c r="D26" s="12" t="s">
        <v>1644</v>
      </c>
      <c r="E26" s="12" t="s">
        <v>63</v>
      </c>
      <c r="F26" s="12" t="s">
        <v>1723</v>
      </c>
      <c r="G26" s="12" t="s">
        <v>1809</v>
      </c>
      <c r="H26" s="12" t="s">
        <v>1810</v>
      </c>
    </row>
    <row r="27" spans="1:8" x14ac:dyDescent="0.25">
      <c r="A27" s="12" t="s">
        <v>1811</v>
      </c>
      <c r="B27" s="12" t="s">
        <v>1812</v>
      </c>
      <c r="C27" s="12" t="s">
        <v>1748</v>
      </c>
      <c r="D27" s="12" t="s">
        <v>1644</v>
      </c>
      <c r="E27" s="12" t="s">
        <v>63</v>
      </c>
      <c r="F27" s="12" t="s">
        <v>1723</v>
      </c>
      <c r="G27" s="12" t="s">
        <v>1813</v>
      </c>
      <c r="H27" s="12" t="s">
        <v>1814</v>
      </c>
    </row>
  </sheetData>
  <mergeCells count="1">
    <mergeCell ref="A1:H1"/>
  </mergeCells>
  <phoneticPr fontId="4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8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24" style="1" customWidth="1"/>
    <col min="2" max="2" width="18" style="1" customWidth="1"/>
    <col min="3" max="4" width="12" style="1" customWidth="1"/>
    <col min="5" max="5" width="10" style="1" customWidth="1"/>
    <col min="6" max="6" width="28" style="1" customWidth="1"/>
    <col min="7" max="7" width="34" style="1" customWidth="1"/>
    <col min="8" max="8" width="26" style="1" customWidth="1"/>
  </cols>
  <sheetData>
    <row r="1" spans="1:8" x14ac:dyDescent="0.25">
      <c r="A1" s="25" t="s">
        <v>1815</v>
      </c>
      <c r="B1" s="26"/>
      <c r="C1" s="26"/>
      <c r="D1" s="26"/>
      <c r="E1" s="26"/>
      <c r="F1" s="26"/>
      <c r="G1" s="26"/>
      <c r="H1" s="26"/>
    </row>
    <row r="3" spans="1:8" x14ac:dyDescent="0.25">
      <c r="A3" s="11" t="s">
        <v>1633</v>
      </c>
      <c r="B3" s="11" t="s">
        <v>1634</v>
      </c>
      <c r="C3" s="11" t="s">
        <v>1635</v>
      </c>
      <c r="D3" s="11" t="s">
        <v>1636</v>
      </c>
      <c r="E3" s="11" t="s">
        <v>1637</v>
      </c>
      <c r="F3" s="11" t="s">
        <v>1638</v>
      </c>
      <c r="G3" s="11" t="s">
        <v>1639</v>
      </c>
      <c r="H3" s="11" t="s">
        <v>1640</v>
      </c>
    </row>
    <row r="4" spans="1:8" x14ac:dyDescent="0.25">
      <c r="A4" s="16" t="s">
        <v>1816</v>
      </c>
      <c r="B4" s="16" t="s">
        <v>1817</v>
      </c>
      <c r="C4" s="16" t="s">
        <v>1643</v>
      </c>
      <c r="D4" s="16" t="s">
        <v>1644</v>
      </c>
      <c r="E4" s="16" t="s">
        <v>61</v>
      </c>
      <c r="F4" s="16" t="s">
        <v>1645</v>
      </c>
      <c r="G4" s="16" t="s">
        <v>1818</v>
      </c>
      <c r="H4" s="16" t="s">
        <v>1819</v>
      </c>
    </row>
    <row r="5" spans="1:8" x14ac:dyDescent="0.25">
      <c r="A5" s="16" t="s">
        <v>1648</v>
      </c>
      <c r="B5" s="16" t="s">
        <v>1649</v>
      </c>
      <c r="C5" s="16" t="s">
        <v>1643</v>
      </c>
      <c r="D5" s="16" t="s">
        <v>1644</v>
      </c>
      <c r="E5" s="16" t="s">
        <v>61</v>
      </c>
      <c r="F5" s="16" t="s">
        <v>1650</v>
      </c>
      <c r="G5" s="16" t="s">
        <v>1820</v>
      </c>
      <c r="H5" s="16" t="s">
        <v>1652</v>
      </c>
    </row>
    <row r="6" spans="1:8" x14ac:dyDescent="0.25">
      <c r="A6" s="16" t="s">
        <v>1821</v>
      </c>
      <c r="B6" s="16" t="s">
        <v>1822</v>
      </c>
      <c r="C6" s="16" t="s">
        <v>1643</v>
      </c>
      <c r="D6" s="16" t="s">
        <v>1644</v>
      </c>
      <c r="E6" s="16" t="s">
        <v>61</v>
      </c>
      <c r="F6" s="16" t="s">
        <v>1823</v>
      </c>
      <c r="G6" s="16" t="s">
        <v>1824</v>
      </c>
      <c r="H6" s="16" t="s">
        <v>1825</v>
      </c>
    </row>
    <row r="7" spans="1:8" ht="30" x14ac:dyDescent="0.25">
      <c r="A7" s="16" t="s">
        <v>1826</v>
      </c>
      <c r="B7" s="16" t="s">
        <v>1827</v>
      </c>
      <c r="C7" s="16" t="s">
        <v>1643</v>
      </c>
      <c r="D7" s="16" t="s">
        <v>1644</v>
      </c>
      <c r="E7" s="16" t="s">
        <v>61</v>
      </c>
      <c r="F7" s="16" t="s">
        <v>1828</v>
      </c>
      <c r="G7" s="16" t="s">
        <v>1820</v>
      </c>
      <c r="H7" s="16" t="s">
        <v>1829</v>
      </c>
    </row>
    <row r="8" spans="1:8" ht="30" x14ac:dyDescent="0.25">
      <c r="A8" s="16" t="s">
        <v>1830</v>
      </c>
      <c r="B8" s="16" t="s">
        <v>1831</v>
      </c>
      <c r="C8" s="16" t="s">
        <v>1643</v>
      </c>
      <c r="D8" s="16" t="s">
        <v>1660</v>
      </c>
      <c r="E8" s="16" t="s">
        <v>61</v>
      </c>
      <c r="F8" s="16" t="s">
        <v>1697</v>
      </c>
      <c r="G8" s="16" t="s">
        <v>1820</v>
      </c>
      <c r="H8" s="16" t="s">
        <v>1829</v>
      </c>
    </row>
    <row r="9" spans="1:8" ht="30" x14ac:dyDescent="0.25">
      <c r="A9" s="16" t="s">
        <v>1832</v>
      </c>
      <c r="B9" s="16" t="s">
        <v>1833</v>
      </c>
      <c r="C9" s="16" t="s">
        <v>1834</v>
      </c>
      <c r="D9" s="16" t="s">
        <v>1678</v>
      </c>
      <c r="E9" s="16" t="s">
        <v>61</v>
      </c>
      <c r="F9" s="16" t="s">
        <v>1835</v>
      </c>
      <c r="G9" s="16" t="s">
        <v>1836</v>
      </c>
      <c r="H9" s="16" t="s">
        <v>1837</v>
      </c>
    </row>
    <row r="10" spans="1:8" ht="30" x14ac:dyDescent="0.25">
      <c r="A10" s="16" t="s">
        <v>1838</v>
      </c>
      <c r="B10" s="16" t="s">
        <v>1839</v>
      </c>
      <c r="C10" s="16" t="s">
        <v>1834</v>
      </c>
      <c r="D10" s="16" t="s">
        <v>1678</v>
      </c>
      <c r="E10" s="16" t="s">
        <v>61</v>
      </c>
      <c r="F10" s="16" t="s">
        <v>1840</v>
      </c>
      <c r="G10" s="16" t="s">
        <v>1836</v>
      </c>
      <c r="H10" s="16" t="s">
        <v>1841</v>
      </c>
    </row>
    <row r="11" spans="1:8" x14ac:dyDescent="0.25">
      <c r="A11" s="16" t="s">
        <v>1842</v>
      </c>
      <c r="B11" s="16" t="s">
        <v>1843</v>
      </c>
      <c r="C11" s="16" t="s">
        <v>1834</v>
      </c>
      <c r="D11" s="16" t="s">
        <v>1678</v>
      </c>
      <c r="E11" s="16" t="s">
        <v>61</v>
      </c>
      <c r="F11" s="16" t="s">
        <v>1844</v>
      </c>
      <c r="G11" s="16" t="s">
        <v>1845</v>
      </c>
      <c r="H11" s="16" t="s">
        <v>1846</v>
      </c>
    </row>
    <row r="12" spans="1:8" ht="30" x14ac:dyDescent="0.25">
      <c r="A12" s="16" t="s">
        <v>1847</v>
      </c>
      <c r="B12" s="16" t="s">
        <v>1804</v>
      </c>
      <c r="C12" s="16" t="s">
        <v>1834</v>
      </c>
      <c r="D12" s="16" t="s">
        <v>1644</v>
      </c>
      <c r="E12" s="16" t="s">
        <v>61</v>
      </c>
      <c r="F12" s="16" t="s">
        <v>63</v>
      </c>
      <c r="G12" s="16" t="s">
        <v>1781</v>
      </c>
      <c r="H12" s="16" t="s">
        <v>1848</v>
      </c>
    </row>
    <row r="13" spans="1:8" x14ac:dyDescent="0.25">
      <c r="A13" s="16" t="s">
        <v>1849</v>
      </c>
      <c r="B13" s="16" t="s">
        <v>1850</v>
      </c>
      <c r="C13" s="16" t="s">
        <v>1671</v>
      </c>
      <c r="D13" s="16" t="s">
        <v>1671</v>
      </c>
      <c r="E13" s="16" t="s">
        <v>61</v>
      </c>
      <c r="F13" s="16" t="s">
        <v>1672</v>
      </c>
      <c r="G13" s="16" t="s">
        <v>1851</v>
      </c>
      <c r="H13" s="16" t="s">
        <v>1852</v>
      </c>
    </row>
    <row r="14" spans="1:8" x14ac:dyDescent="0.25">
      <c r="A14" s="16" t="s">
        <v>1853</v>
      </c>
      <c r="B14" s="16" t="s">
        <v>1747</v>
      </c>
      <c r="C14" s="16" t="s">
        <v>1748</v>
      </c>
      <c r="D14" s="16" t="s">
        <v>1678</v>
      </c>
      <c r="E14" s="16" t="s">
        <v>61</v>
      </c>
      <c r="F14" s="16" t="s">
        <v>1679</v>
      </c>
      <c r="G14" s="16" t="s">
        <v>1854</v>
      </c>
      <c r="H14" s="16" t="s">
        <v>1855</v>
      </c>
    </row>
    <row r="15" spans="1:8" ht="30" x14ac:dyDescent="0.25">
      <c r="A15" s="16" t="s">
        <v>1856</v>
      </c>
      <c r="B15" s="16" t="s">
        <v>1752</v>
      </c>
      <c r="C15" s="16" t="s">
        <v>1748</v>
      </c>
      <c r="D15" s="16" t="s">
        <v>1644</v>
      </c>
      <c r="E15" s="16" t="s">
        <v>61</v>
      </c>
      <c r="F15" s="16" t="s">
        <v>1857</v>
      </c>
      <c r="G15" s="16" t="s">
        <v>1753</v>
      </c>
      <c r="H15" s="16" t="s">
        <v>1754</v>
      </c>
    </row>
    <row r="16" spans="1:8" x14ac:dyDescent="0.25">
      <c r="A16" s="16" t="s">
        <v>1858</v>
      </c>
      <c r="B16" s="16" t="s">
        <v>1756</v>
      </c>
      <c r="C16" s="16" t="s">
        <v>1748</v>
      </c>
      <c r="D16" s="16" t="s">
        <v>1644</v>
      </c>
      <c r="E16" s="16" t="s">
        <v>61</v>
      </c>
      <c r="F16" s="16" t="s">
        <v>1095</v>
      </c>
      <c r="G16" s="16" t="s">
        <v>1859</v>
      </c>
      <c r="H16" s="16" t="s">
        <v>1860</v>
      </c>
    </row>
    <row r="17" spans="1:8" x14ac:dyDescent="0.25">
      <c r="A17" s="16" t="s">
        <v>1861</v>
      </c>
      <c r="B17" s="16" t="s">
        <v>1761</v>
      </c>
      <c r="C17" s="16" t="s">
        <v>1748</v>
      </c>
      <c r="D17" s="16" t="s">
        <v>1644</v>
      </c>
      <c r="E17" s="16" t="s">
        <v>63</v>
      </c>
      <c r="F17" s="16" t="s">
        <v>1862</v>
      </c>
      <c r="G17" s="16" t="s">
        <v>1859</v>
      </c>
      <c r="H17" s="16" t="s">
        <v>1863</v>
      </c>
    </row>
    <row r="18" spans="1:8" ht="30" x14ac:dyDescent="0.25">
      <c r="A18" s="16" t="s">
        <v>1864</v>
      </c>
      <c r="B18" s="16" t="s">
        <v>1065</v>
      </c>
      <c r="C18" s="16" t="s">
        <v>1748</v>
      </c>
      <c r="D18" s="16" t="s">
        <v>1678</v>
      </c>
      <c r="E18" s="16" t="s">
        <v>61</v>
      </c>
      <c r="F18" s="16" t="s">
        <v>1865</v>
      </c>
      <c r="G18" s="16" t="s">
        <v>1765</v>
      </c>
      <c r="H18" s="16" t="s">
        <v>1866</v>
      </c>
    </row>
    <row r="19" spans="1:8" ht="30" x14ac:dyDescent="0.25">
      <c r="A19" s="16" t="s">
        <v>1867</v>
      </c>
      <c r="B19" s="16" t="s">
        <v>1066</v>
      </c>
      <c r="C19" s="16" t="s">
        <v>1748</v>
      </c>
      <c r="D19" s="16" t="s">
        <v>1678</v>
      </c>
      <c r="E19" s="16" t="s">
        <v>61</v>
      </c>
      <c r="F19" s="16" t="s">
        <v>1868</v>
      </c>
      <c r="G19" s="16" t="s">
        <v>1765</v>
      </c>
      <c r="H19" s="16" t="s">
        <v>1866</v>
      </c>
    </row>
    <row r="20" spans="1:8" ht="30" x14ac:dyDescent="0.25">
      <c r="A20" s="16" t="s">
        <v>1869</v>
      </c>
      <c r="B20" s="16" t="s">
        <v>1067</v>
      </c>
      <c r="C20" s="16" t="s">
        <v>1748</v>
      </c>
      <c r="D20" s="16" t="s">
        <v>1678</v>
      </c>
      <c r="E20" s="16" t="s">
        <v>61</v>
      </c>
      <c r="F20" s="16" t="s">
        <v>1870</v>
      </c>
      <c r="G20" s="16" t="s">
        <v>1765</v>
      </c>
      <c r="H20" s="16" t="s">
        <v>1866</v>
      </c>
    </row>
    <row r="21" spans="1:8" ht="30" x14ac:dyDescent="0.25">
      <c r="A21" s="16" t="s">
        <v>1871</v>
      </c>
      <c r="B21" s="16" t="s">
        <v>1776</v>
      </c>
      <c r="C21" s="16" t="s">
        <v>1748</v>
      </c>
      <c r="D21" s="16" t="s">
        <v>1678</v>
      </c>
      <c r="E21" s="16" t="s">
        <v>61</v>
      </c>
      <c r="F21" s="16" t="s">
        <v>1872</v>
      </c>
      <c r="G21" s="16" t="s">
        <v>1824</v>
      </c>
      <c r="H21" s="16" t="s">
        <v>1873</v>
      </c>
    </row>
    <row r="22" spans="1:8" ht="30" x14ac:dyDescent="0.25">
      <c r="A22" s="16" t="s">
        <v>1874</v>
      </c>
      <c r="B22" s="16" t="s">
        <v>1792</v>
      </c>
      <c r="C22" s="16" t="s">
        <v>1748</v>
      </c>
      <c r="D22" s="16" t="s">
        <v>1678</v>
      </c>
      <c r="E22" s="16" t="s">
        <v>63</v>
      </c>
      <c r="F22" s="16" t="s">
        <v>1875</v>
      </c>
      <c r="G22" s="16" t="s">
        <v>1824</v>
      </c>
      <c r="H22" s="16" t="s">
        <v>1876</v>
      </c>
    </row>
    <row r="23" spans="1:8" ht="30" x14ac:dyDescent="0.25">
      <c r="A23" s="16" t="s">
        <v>1877</v>
      </c>
      <c r="B23" s="16" t="s">
        <v>1796</v>
      </c>
      <c r="C23" s="16" t="s">
        <v>1748</v>
      </c>
      <c r="D23" s="16" t="s">
        <v>1644</v>
      </c>
      <c r="E23" s="16" t="s">
        <v>63</v>
      </c>
      <c r="F23" s="16" t="s">
        <v>61</v>
      </c>
      <c r="G23" s="16" t="s">
        <v>1797</v>
      </c>
      <c r="H23" s="16" t="s">
        <v>1878</v>
      </c>
    </row>
    <row r="24" spans="1:8" ht="30" x14ac:dyDescent="0.25">
      <c r="A24" s="16" t="s">
        <v>1879</v>
      </c>
      <c r="B24" s="16" t="s">
        <v>1800</v>
      </c>
      <c r="C24" s="16" t="s">
        <v>1748</v>
      </c>
      <c r="D24" s="16" t="s">
        <v>1678</v>
      </c>
      <c r="E24" s="16" t="s">
        <v>63</v>
      </c>
      <c r="F24" s="16" t="s">
        <v>1880</v>
      </c>
      <c r="G24" s="16" t="s">
        <v>1824</v>
      </c>
      <c r="H24" s="16" t="s">
        <v>1801</v>
      </c>
    </row>
    <row r="25" spans="1:8" x14ac:dyDescent="0.25">
      <c r="A25" s="16" t="s">
        <v>1881</v>
      </c>
      <c r="B25" s="16" t="s">
        <v>1882</v>
      </c>
      <c r="C25" s="16" t="s">
        <v>1671</v>
      </c>
      <c r="D25" s="16" t="s">
        <v>1671</v>
      </c>
      <c r="E25" s="16" t="s">
        <v>61</v>
      </c>
      <c r="F25" s="16" t="s">
        <v>1672</v>
      </c>
      <c r="G25" s="16" t="s">
        <v>1673</v>
      </c>
      <c r="H25" s="16" t="s">
        <v>1883</v>
      </c>
    </row>
    <row r="26" spans="1:8" ht="30" x14ac:dyDescent="0.25">
      <c r="A26" s="16" t="s">
        <v>1884</v>
      </c>
      <c r="B26" s="16" t="s">
        <v>1676</v>
      </c>
      <c r="C26" s="16" t="s">
        <v>1772</v>
      </c>
      <c r="D26" s="16" t="s">
        <v>1678</v>
      </c>
      <c r="E26" s="16" t="s">
        <v>61</v>
      </c>
      <c r="F26" s="16" t="s">
        <v>1679</v>
      </c>
      <c r="G26" s="16" t="s">
        <v>1885</v>
      </c>
      <c r="H26" s="16" t="s">
        <v>1886</v>
      </c>
    </row>
    <row r="27" spans="1:8" ht="30" x14ac:dyDescent="0.25">
      <c r="A27" s="16" t="s">
        <v>1887</v>
      </c>
      <c r="B27" s="16" t="s">
        <v>1738</v>
      </c>
      <c r="C27" s="16" t="s">
        <v>1772</v>
      </c>
      <c r="D27" s="16" t="s">
        <v>1644</v>
      </c>
      <c r="E27" s="16" t="s">
        <v>61</v>
      </c>
      <c r="F27" s="16" t="s">
        <v>1683</v>
      </c>
      <c r="G27" s="16" t="s">
        <v>1558</v>
      </c>
      <c r="H27" s="16" t="s">
        <v>1740</v>
      </c>
    </row>
    <row r="28" spans="1:8" ht="30" x14ac:dyDescent="0.25">
      <c r="A28" s="16" t="s">
        <v>1888</v>
      </c>
      <c r="B28" s="16" t="s">
        <v>1687</v>
      </c>
      <c r="C28" s="16" t="s">
        <v>1772</v>
      </c>
      <c r="D28" s="16" t="s">
        <v>1644</v>
      </c>
      <c r="E28" s="16" t="s">
        <v>61</v>
      </c>
      <c r="F28" s="16" t="s">
        <v>1688</v>
      </c>
      <c r="G28" s="16" t="s">
        <v>1558</v>
      </c>
      <c r="H28" s="16" t="s">
        <v>1889</v>
      </c>
    </row>
    <row r="29" spans="1:8" ht="30" x14ac:dyDescent="0.25">
      <c r="A29" s="16" t="s">
        <v>1890</v>
      </c>
      <c r="B29" s="16" t="s">
        <v>1742</v>
      </c>
      <c r="C29" s="16" t="s">
        <v>1772</v>
      </c>
      <c r="D29" s="16" t="s">
        <v>1644</v>
      </c>
      <c r="E29" s="16" t="s">
        <v>61</v>
      </c>
      <c r="F29" s="16" t="s">
        <v>1891</v>
      </c>
      <c r="G29" s="16" t="s">
        <v>1892</v>
      </c>
      <c r="H29" s="16" t="s">
        <v>1893</v>
      </c>
    </row>
    <row r="30" spans="1:8" ht="30" x14ac:dyDescent="0.25">
      <c r="A30" s="16" t="s">
        <v>1894</v>
      </c>
      <c r="B30" s="16" t="s">
        <v>1895</v>
      </c>
      <c r="C30" s="16" t="s">
        <v>1772</v>
      </c>
      <c r="D30" s="16" t="s">
        <v>1678</v>
      </c>
      <c r="E30" s="16" t="s">
        <v>61</v>
      </c>
      <c r="F30" s="16" t="s">
        <v>1691</v>
      </c>
      <c r="G30" s="16" t="s">
        <v>1824</v>
      </c>
      <c r="H30" s="16" t="s">
        <v>1896</v>
      </c>
    </row>
    <row r="31" spans="1:8" ht="30" x14ac:dyDescent="0.25">
      <c r="A31" s="16" t="s">
        <v>1897</v>
      </c>
      <c r="B31" s="16" t="s">
        <v>1780</v>
      </c>
      <c r="C31" s="16" t="s">
        <v>1772</v>
      </c>
      <c r="D31" s="16" t="s">
        <v>1644</v>
      </c>
      <c r="E31" s="16" t="s">
        <v>61</v>
      </c>
      <c r="F31" s="16" t="s">
        <v>63</v>
      </c>
      <c r="G31" s="16" t="s">
        <v>1781</v>
      </c>
      <c r="H31" s="16" t="s">
        <v>1782</v>
      </c>
    </row>
    <row r="32" spans="1:8" ht="30" x14ac:dyDescent="0.25">
      <c r="A32" s="16" t="s">
        <v>1898</v>
      </c>
      <c r="B32" s="16" t="s">
        <v>1784</v>
      </c>
      <c r="C32" s="16" t="s">
        <v>1772</v>
      </c>
      <c r="D32" s="16" t="s">
        <v>1644</v>
      </c>
      <c r="E32" s="16" t="s">
        <v>61</v>
      </c>
      <c r="F32" s="16" t="s">
        <v>63</v>
      </c>
      <c r="G32" s="16" t="s">
        <v>1781</v>
      </c>
      <c r="H32" s="16" t="s">
        <v>1899</v>
      </c>
    </row>
    <row r="33" spans="1:8" ht="30" x14ac:dyDescent="0.25">
      <c r="A33" s="16" t="s">
        <v>1900</v>
      </c>
      <c r="B33" s="16" t="s">
        <v>1788</v>
      </c>
      <c r="C33" s="16" t="s">
        <v>1772</v>
      </c>
      <c r="D33" s="16" t="s">
        <v>1644</v>
      </c>
      <c r="E33" s="16" t="s">
        <v>61</v>
      </c>
      <c r="F33" s="16" t="s">
        <v>61</v>
      </c>
      <c r="G33" s="16" t="s">
        <v>1781</v>
      </c>
      <c r="H33" s="16" t="s">
        <v>1901</v>
      </c>
    </row>
    <row r="34" spans="1:8" x14ac:dyDescent="0.25">
      <c r="A34" s="16" t="s">
        <v>1902</v>
      </c>
      <c r="B34" s="16" t="s">
        <v>1903</v>
      </c>
      <c r="C34" s="16" t="s">
        <v>1671</v>
      </c>
      <c r="D34" s="16" t="s">
        <v>1671</v>
      </c>
      <c r="E34" s="16" t="s">
        <v>63</v>
      </c>
      <c r="F34" s="16" t="s">
        <v>1672</v>
      </c>
      <c r="G34" s="16" t="s">
        <v>1904</v>
      </c>
      <c r="H34" s="16" t="s">
        <v>1905</v>
      </c>
    </row>
    <row r="35" spans="1:8" ht="30" x14ac:dyDescent="0.25">
      <c r="A35" s="16" t="s">
        <v>1906</v>
      </c>
      <c r="B35" s="16" t="s">
        <v>1676</v>
      </c>
      <c r="C35" s="16" t="s">
        <v>1907</v>
      </c>
      <c r="D35" s="16" t="s">
        <v>1678</v>
      </c>
      <c r="E35" s="16" t="s">
        <v>61</v>
      </c>
      <c r="F35" s="16" t="s">
        <v>1844</v>
      </c>
      <c r="G35" s="16" t="s">
        <v>1885</v>
      </c>
      <c r="H35" s="16" t="s">
        <v>1908</v>
      </c>
    </row>
    <row r="36" spans="1:8" ht="30" x14ac:dyDescent="0.25">
      <c r="A36" s="16" t="s">
        <v>1909</v>
      </c>
      <c r="B36" s="16" t="s">
        <v>1910</v>
      </c>
      <c r="C36" s="16" t="s">
        <v>1907</v>
      </c>
      <c r="D36" s="16" t="s">
        <v>1644</v>
      </c>
      <c r="E36" s="16" t="s">
        <v>61</v>
      </c>
      <c r="F36" s="16" t="s">
        <v>1911</v>
      </c>
      <c r="G36" s="16" t="s">
        <v>1824</v>
      </c>
      <c r="H36" s="16" t="s">
        <v>1912</v>
      </c>
    </row>
    <row r="37" spans="1:8" ht="30" x14ac:dyDescent="0.25">
      <c r="A37" s="16" t="s">
        <v>1913</v>
      </c>
      <c r="B37" s="16" t="s">
        <v>1914</v>
      </c>
      <c r="C37" s="16" t="s">
        <v>1907</v>
      </c>
      <c r="D37" s="16" t="s">
        <v>1644</v>
      </c>
      <c r="E37" s="16" t="s">
        <v>63</v>
      </c>
      <c r="F37" s="16" t="s">
        <v>1915</v>
      </c>
      <c r="G37" s="16" t="s">
        <v>1824</v>
      </c>
      <c r="H37" s="16" t="s">
        <v>1916</v>
      </c>
    </row>
    <row r="38" spans="1:8" x14ac:dyDescent="0.25">
      <c r="A38" s="16" t="s">
        <v>1917</v>
      </c>
      <c r="B38" s="16" t="s">
        <v>1918</v>
      </c>
      <c r="C38" s="16" t="s">
        <v>1671</v>
      </c>
      <c r="D38" s="16" t="s">
        <v>1671</v>
      </c>
      <c r="E38" s="16" t="s">
        <v>63</v>
      </c>
      <c r="F38" s="16" t="s">
        <v>1672</v>
      </c>
      <c r="G38" s="16" t="s">
        <v>1904</v>
      </c>
      <c r="H38" s="16" t="s">
        <v>1813</v>
      </c>
    </row>
  </sheetData>
  <mergeCells count="1">
    <mergeCell ref="A1:H1"/>
  </mergeCells>
  <phoneticPr fontId="4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50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24" style="1" customWidth="1"/>
    <col min="2" max="4" width="20" style="1" customWidth="1"/>
    <col min="5" max="5" width="24" style="1" customWidth="1"/>
    <col min="6" max="8" width="20" style="1" customWidth="1"/>
  </cols>
  <sheetData>
    <row r="1" spans="1:8" x14ac:dyDescent="0.25">
      <c r="A1" s="25" t="s">
        <v>1919</v>
      </c>
      <c r="B1" s="26"/>
      <c r="C1" s="26"/>
      <c r="D1" s="26"/>
      <c r="E1" s="26"/>
      <c r="F1" s="26"/>
      <c r="G1" s="26"/>
      <c r="H1" s="26"/>
    </row>
    <row r="3" spans="1:8" x14ac:dyDescent="0.25">
      <c r="A3" s="27" t="s">
        <v>1920</v>
      </c>
      <c r="B3" s="28"/>
      <c r="C3" s="28"/>
      <c r="D3" s="29"/>
      <c r="E3" s="27" t="s">
        <v>1921</v>
      </c>
      <c r="F3" s="28"/>
      <c r="G3" s="28"/>
      <c r="H3" s="29"/>
    </row>
    <row r="4" spans="1:8" ht="409.6" customHeight="1" x14ac:dyDescent="0.25">
      <c r="A4" s="30" t="s">
        <v>1922</v>
      </c>
      <c r="B4" s="31"/>
      <c r="C4" s="31"/>
      <c r="D4" s="32"/>
      <c r="E4" s="30" t="s">
        <v>1923</v>
      </c>
      <c r="F4" s="31"/>
      <c r="G4" s="31"/>
      <c r="H4" s="32"/>
    </row>
    <row r="5" spans="1:8" x14ac:dyDescent="0.25">
      <c r="A5" s="33"/>
      <c r="B5" s="26"/>
      <c r="C5" s="26"/>
      <c r="D5" s="34"/>
      <c r="E5" s="33"/>
      <c r="F5" s="26"/>
      <c r="G5" s="26"/>
      <c r="H5" s="34"/>
    </row>
    <row r="6" spans="1:8" x14ac:dyDescent="0.25">
      <c r="A6" s="33"/>
      <c r="B6" s="26"/>
      <c r="C6" s="26"/>
      <c r="D6" s="34"/>
      <c r="E6" s="33"/>
      <c r="F6" s="26"/>
      <c r="G6" s="26"/>
      <c r="H6" s="34"/>
    </row>
    <row r="7" spans="1:8" x14ac:dyDescent="0.25">
      <c r="A7" s="33"/>
      <c r="B7" s="26"/>
      <c r="C7" s="26"/>
      <c r="D7" s="34"/>
      <c r="E7" s="33"/>
      <c r="F7" s="26"/>
      <c r="G7" s="26"/>
      <c r="H7" s="34"/>
    </row>
    <row r="8" spans="1:8" x14ac:dyDescent="0.25">
      <c r="A8" s="33"/>
      <c r="B8" s="26"/>
      <c r="C8" s="26"/>
      <c r="D8" s="34"/>
      <c r="E8" s="33"/>
      <c r="F8" s="26"/>
      <c r="G8" s="26"/>
      <c r="H8" s="34"/>
    </row>
    <row r="9" spans="1:8" x14ac:dyDescent="0.25">
      <c r="A9" s="33"/>
      <c r="B9" s="26"/>
      <c r="C9" s="26"/>
      <c r="D9" s="34"/>
      <c r="E9" s="33"/>
      <c r="F9" s="26"/>
      <c r="G9" s="26"/>
      <c r="H9" s="34"/>
    </row>
    <row r="10" spans="1:8" x14ac:dyDescent="0.25">
      <c r="A10" s="33"/>
      <c r="B10" s="26"/>
      <c r="C10" s="26"/>
      <c r="D10" s="34"/>
      <c r="E10" s="33"/>
      <c r="F10" s="26"/>
      <c r="G10" s="26"/>
      <c r="H10" s="34"/>
    </row>
    <row r="11" spans="1:8" x14ac:dyDescent="0.25">
      <c r="A11" s="33"/>
      <c r="B11" s="26"/>
      <c r="C11" s="26"/>
      <c r="D11" s="34"/>
      <c r="E11" s="33"/>
      <c r="F11" s="26"/>
      <c r="G11" s="26"/>
      <c r="H11" s="34"/>
    </row>
    <row r="12" spans="1:8" x14ac:dyDescent="0.25">
      <c r="A12" s="33"/>
      <c r="B12" s="26"/>
      <c r="C12" s="26"/>
      <c r="D12" s="34"/>
      <c r="E12" s="33"/>
      <c r="F12" s="26"/>
      <c r="G12" s="26"/>
      <c r="H12" s="34"/>
    </row>
    <row r="13" spans="1:8" x14ac:dyDescent="0.25">
      <c r="A13" s="33"/>
      <c r="B13" s="26"/>
      <c r="C13" s="26"/>
      <c r="D13" s="34"/>
      <c r="E13" s="33"/>
      <c r="F13" s="26"/>
      <c r="G13" s="26"/>
      <c r="H13" s="34"/>
    </row>
    <row r="14" spans="1:8" x14ac:dyDescent="0.25">
      <c r="A14" s="33"/>
      <c r="B14" s="26"/>
      <c r="C14" s="26"/>
      <c r="D14" s="34"/>
      <c r="E14" s="33"/>
      <c r="F14" s="26"/>
      <c r="G14" s="26"/>
      <c r="H14" s="34"/>
    </row>
    <row r="15" spans="1:8" x14ac:dyDescent="0.25">
      <c r="A15" s="33"/>
      <c r="B15" s="26"/>
      <c r="C15" s="26"/>
      <c r="D15" s="34"/>
      <c r="E15" s="33"/>
      <c r="F15" s="26"/>
      <c r="G15" s="26"/>
      <c r="H15" s="34"/>
    </row>
    <row r="16" spans="1:8" x14ac:dyDescent="0.25">
      <c r="A16" s="33"/>
      <c r="B16" s="26"/>
      <c r="C16" s="26"/>
      <c r="D16" s="34"/>
      <c r="E16" s="33"/>
      <c r="F16" s="26"/>
      <c r="G16" s="26"/>
      <c r="H16" s="34"/>
    </row>
    <row r="17" spans="1:8" x14ac:dyDescent="0.25">
      <c r="A17" s="33"/>
      <c r="B17" s="26"/>
      <c r="C17" s="26"/>
      <c r="D17" s="34"/>
      <c r="E17" s="33"/>
      <c r="F17" s="26"/>
      <c r="G17" s="26"/>
      <c r="H17" s="34"/>
    </row>
    <row r="18" spans="1:8" x14ac:dyDescent="0.25">
      <c r="A18" s="33"/>
      <c r="B18" s="26"/>
      <c r="C18" s="26"/>
      <c r="D18" s="34"/>
      <c r="E18" s="33"/>
      <c r="F18" s="26"/>
      <c r="G18" s="26"/>
      <c r="H18" s="34"/>
    </row>
    <row r="19" spans="1:8" x14ac:dyDescent="0.25">
      <c r="A19" s="33"/>
      <c r="B19" s="26"/>
      <c r="C19" s="26"/>
      <c r="D19" s="34"/>
      <c r="E19" s="33"/>
      <c r="F19" s="26"/>
      <c r="G19" s="26"/>
      <c r="H19" s="34"/>
    </row>
    <row r="20" spans="1:8" x14ac:dyDescent="0.25">
      <c r="A20" s="33"/>
      <c r="B20" s="26"/>
      <c r="C20" s="26"/>
      <c r="D20" s="34"/>
      <c r="E20" s="33"/>
      <c r="F20" s="26"/>
      <c r="G20" s="26"/>
      <c r="H20" s="34"/>
    </row>
    <row r="21" spans="1:8" x14ac:dyDescent="0.25">
      <c r="A21" s="33"/>
      <c r="B21" s="26"/>
      <c r="C21" s="26"/>
      <c r="D21" s="34"/>
      <c r="E21" s="33"/>
      <c r="F21" s="26"/>
      <c r="G21" s="26"/>
      <c r="H21" s="34"/>
    </row>
    <row r="22" spans="1:8" x14ac:dyDescent="0.25">
      <c r="A22" s="33"/>
      <c r="B22" s="26"/>
      <c r="C22" s="26"/>
      <c r="D22" s="34"/>
      <c r="E22" s="33"/>
      <c r="F22" s="26"/>
      <c r="G22" s="26"/>
      <c r="H22" s="34"/>
    </row>
    <row r="23" spans="1:8" x14ac:dyDescent="0.25">
      <c r="A23" s="33"/>
      <c r="B23" s="26"/>
      <c r="C23" s="26"/>
      <c r="D23" s="34"/>
      <c r="E23" s="33"/>
      <c r="F23" s="26"/>
      <c r="G23" s="26"/>
      <c r="H23" s="34"/>
    </row>
    <row r="24" spans="1:8" x14ac:dyDescent="0.25">
      <c r="A24" s="33"/>
      <c r="B24" s="26"/>
      <c r="C24" s="26"/>
      <c r="D24" s="34"/>
      <c r="E24" s="33"/>
      <c r="F24" s="26"/>
      <c r="G24" s="26"/>
      <c r="H24" s="34"/>
    </row>
    <row r="25" spans="1:8" x14ac:dyDescent="0.25">
      <c r="A25" s="33"/>
      <c r="B25" s="26"/>
      <c r="C25" s="26"/>
      <c r="D25" s="34"/>
      <c r="E25" s="33"/>
      <c r="F25" s="26"/>
      <c r="G25" s="26"/>
      <c r="H25" s="34"/>
    </row>
    <row r="26" spans="1:8" x14ac:dyDescent="0.25">
      <c r="A26" s="33"/>
      <c r="B26" s="26"/>
      <c r="C26" s="26"/>
      <c r="D26" s="34"/>
      <c r="E26" s="33"/>
      <c r="F26" s="26"/>
      <c r="G26" s="26"/>
      <c r="H26" s="34"/>
    </row>
    <row r="27" spans="1:8" x14ac:dyDescent="0.25">
      <c r="A27" s="33"/>
      <c r="B27" s="26"/>
      <c r="C27" s="26"/>
      <c r="D27" s="34"/>
      <c r="E27" s="33"/>
      <c r="F27" s="26"/>
      <c r="G27" s="26"/>
      <c r="H27" s="34"/>
    </row>
    <row r="28" spans="1:8" x14ac:dyDescent="0.25">
      <c r="A28" s="33"/>
      <c r="B28" s="26"/>
      <c r="C28" s="26"/>
      <c r="D28" s="34"/>
      <c r="E28" s="33"/>
      <c r="F28" s="26"/>
      <c r="G28" s="26"/>
      <c r="H28" s="34"/>
    </row>
    <row r="29" spans="1:8" x14ac:dyDescent="0.25">
      <c r="A29" s="33"/>
      <c r="B29" s="26"/>
      <c r="C29" s="26"/>
      <c r="D29" s="34"/>
      <c r="E29" s="33"/>
      <c r="F29" s="26"/>
      <c r="G29" s="26"/>
      <c r="H29" s="34"/>
    </row>
    <row r="30" spans="1:8" x14ac:dyDescent="0.25">
      <c r="A30" s="33"/>
      <c r="B30" s="26"/>
      <c r="C30" s="26"/>
      <c r="D30" s="34"/>
      <c r="E30" s="33"/>
      <c r="F30" s="26"/>
      <c r="G30" s="26"/>
      <c r="H30" s="34"/>
    </row>
    <row r="31" spans="1:8" x14ac:dyDescent="0.25">
      <c r="A31" s="33"/>
      <c r="B31" s="26"/>
      <c r="C31" s="26"/>
      <c r="D31" s="34"/>
      <c r="E31" s="33"/>
      <c r="F31" s="26"/>
      <c r="G31" s="26"/>
      <c r="H31" s="34"/>
    </row>
    <row r="32" spans="1:8" x14ac:dyDescent="0.25">
      <c r="A32" s="33"/>
      <c r="B32" s="26"/>
      <c r="C32" s="26"/>
      <c r="D32" s="34"/>
      <c r="E32" s="33"/>
      <c r="F32" s="26"/>
      <c r="G32" s="26"/>
      <c r="H32" s="34"/>
    </row>
    <row r="33" spans="1:8" x14ac:dyDescent="0.25">
      <c r="A33" s="33"/>
      <c r="B33" s="26"/>
      <c r="C33" s="26"/>
      <c r="D33" s="34"/>
      <c r="E33" s="33"/>
      <c r="F33" s="26"/>
      <c r="G33" s="26"/>
      <c r="H33" s="34"/>
    </row>
    <row r="34" spans="1:8" x14ac:dyDescent="0.25">
      <c r="A34" s="33"/>
      <c r="B34" s="26"/>
      <c r="C34" s="26"/>
      <c r="D34" s="34"/>
      <c r="E34" s="33"/>
      <c r="F34" s="26"/>
      <c r="G34" s="26"/>
      <c r="H34" s="34"/>
    </row>
    <row r="35" spans="1:8" x14ac:dyDescent="0.25">
      <c r="A35" s="33"/>
      <c r="B35" s="26"/>
      <c r="C35" s="26"/>
      <c r="D35" s="34"/>
      <c r="E35" s="33"/>
      <c r="F35" s="26"/>
      <c r="G35" s="26"/>
      <c r="H35" s="34"/>
    </row>
    <row r="36" spans="1:8" x14ac:dyDescent="0.25">
      <c r="A36" s="33"/>
      <c r="B36" s="26"/>
      <c r="C36" s="26"/>
      <c r="D36" s="34"/>
      <c r="E36" s="33"/>
      <c r="F36" s="26"/>
      <c r="G36" s="26"/>
      <c r="H36" s="34"/>
    </row>
    <row r="37" spans="1:8" x14ac:dyDescent="0.25">
      <c r="A37" s="33"/>
      <c r="B37" s="26"/>
      <c r="C37" s="26"/>
      <c r="D37" s="34"/>
      <c r="E37" s="33"/>
      <c r="F37" s="26"/>
      <c r="G37" s="26"/>
      <c r="H37" s="34"/>
    </row>
    <row r="38" spans="1:8" x14ac:dyDescent="0.25">
      <c r="A38" s="33"/>
      <c r="B38" s="26"/>
      <c r="C38" s="26"/>
      <c r="D38" s="34"/>
      <c r="E38" s="33"/>
      <c r="F38" s="26"/>
      <c r="G38" s="26"/>
      <c r="H38" s="34"/>
    </row>
    <row r="39" spans="1:8" x14ac:dyDescent="0.25">
      <c r="A39" s="33"/>
      <c r="B39" s="26"/>
      <c r="C39" s="26"/>
      <c r="D39" s="34"/>
      <c r="E39" s="33"/>
      <c r="F39" s="26"/>
      <c r="G39" s="26"/>
      <c r="H39" s="34"/>
    </row>
    <row r="40" spans="1:8" x14ac:dyDescent="0.25">
      <c r="A40" s="33"/>
      <c r="B40" s="26"/>
      <c r="C40" s="26"/>
      <c r="D40" s="34"/>
      <c r="E40" s="33"/>
      <c r="F40" s="26"/>
      <c r="G40" s="26"/>
      <c r="H40" s="34"/>
    </row>
    <row r="41" spans="1:8" x14ac:dyDescent="0.25">
      <c r="A41" s="33"/>
      <c r="B41" s="26"/>
      <c r="C41" s="26"/>
      <c r="D41" s="34"/>
      <c r="E41" s="33"/>
      <c r="F41" s="26"/>
      <c r="G41" s="26"/>
      <c r="H41" s="34"/>
    </row>
    <row r="42" spans="1:8" x14ac:dyDescent="0.25">
      <c r="A42" s="33"/>
      <c r="B42" s="26"/>
      <c r="C42" s="26"/>
      <c r="D42" s="34"/>
      <c r="E42" s="33"/>
      <c r="F42" s="26"/>
      <c r="G42" s="26"/>
      <c r="H42" s="34"/>
    </row>
    <row r="43" spans="1:8" x14ac:dyDescent="0.25">
      <c r="A43" s="33"/>
      <c r="B43" s="26"/>
      <c r="C43" s="26"/>
      <c r="D43" s="34"/>
      <c r="E43" s="33"/>
      <c r="F43" s="26"/>
      <c r="G43" s="26"/>
      <c r="H43" s="34"/>
    </row>
    <row r="44" spans="1:8" x14ac:dyDescent="0.25">
      <c r="A44" s="33"/>
      <c r="B44" s="26"/>
      <c r="C44" s="26"/>
      <c r="D44" s="34"/>
      <c r="E44" s="33"/>
      <c r="F44" s="26"/>
      <c r="G44" s="26"/>
      <c r="H44" s="34"/>
    </row>
    <row r="45" spans="1:8" x14ac:dyDescent="0.25">
      <c r="A45" s="33"/>
      <c r="B45" s="26"/>
      <c r="C45" s="26"/>
      <c r="D45" s="34"/>
      <c r="E45" s="33"/>
      <c r="F45" s="26"/>
      <c r="G45" s="26"/>
      <c r="H45" s="34"/>
    </row>
    <row r="46" spans="1:8" x14ac:dyDescent="0.25">
      <c r="A46" s="33"/>
      <c r="B46" s="26"/>
      <c r="C46" s="26"/>
      <c r="D46" s="34"/>
      <c r="E46" s="33"/>
      <c r="F46" s="26"/>
      <c r="G46" s="26"/>
      <c r="H46" s="34"/>
    </row>
    <row r="47" spans="1:8" x14ac:dyDescent="0.25">
      <c r="A47" s="33"/>
      <c r="B47" s="26"/>
      <c r="C47" s="26"/>
      <c r="D47" s="34"/>
      <c r="E47" s="33"/>
      <c r="F47" s="26"/>
      <c r="G47" s="26"/>
      <c r="H47" s="34"/>
    </row>
    <row r="48" spans="1:8" x14ac:dyDescent="0.25">
      <c r="A48" s="33"/>
      <c r="B48" s="26"/>
      <c r="C48" s="26"/>
      <c r="D48" s="34"/>
      <c r="E48" s="33"/>
      <c r="F48" s="26"/>
      <c r="G48" s="26"/>
      <c r="H48" s="34"/>
    </row>
    <row r="49" spans="1:8" x14ac:dyDescent="0.25">
      <c r="A49" s="33"/>
      <c r="B49" s="26"/>
      <c r="C49" s="26"/>
      <c r="D49" s="34"/>
      <c r="E49" s="33"/>
      <c r="F49" s="26"/>
      <c r="G49" s="26"/>
      <c r="H49" s="34"/>
    </row>
    <row r="50" spans="1:8" x14ac:dyDescent="0.25">
      <c r="A50" s="35"/>
      <c r="B50" s="36"/>
      <c r="C50" s="36"/>
      <c r="D50" s="37"/>
      <c r="E50" s="35"/>
      <c r="F50" s="36"/>
      <c r="G50" s="36"/>
      <c r="H50" s="37"/>
    </row>
  </sheetData>
  <mergeCells count="5">
    <mergeCell ref="E3:H3"/>
    <mergeCell ref="A3:D3"/>
    <mergeCell ref="A4:D50"/>
    <mergeCell ref="E4:H50"/>
    <mergeCell ref="A1:H1"/>
  </mergeCells>
  <phoneticPr fontId="4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39"/>
  <sheetViews>
    <sheetView showGridLines="0" workbookViewId="0"/>
  </sheetViews>
  <sheetFormatPr defaultRowHeight="15" x14ac:dyDescent="0.25"/>
  <cols>
    <col min="1" max="1" width="28" style="1" customWidth="1"/>
    <col min="2" max="2" width="26" style="1" customWidth="1"/>
    <col min="3" max="3" width="12" style="1" customWidth="1"/>
    <col min="4" max="4" width="44" style="1" customWidth="1"/>
    <col min="5" max="5" width="18" style="1" customWidth="1"/>
  </cols>
  <sheetData>
    <row r="1" spans="1:5" ht="24" customHeight="1" x14ac:dyDescent="0.25">
      <c r="A1" s="25" t="s">
        <v>1924</v>
      </c>
      <c r="B1" s="26"/>
      <c r="C1" s="26"/>
      <c r="D1" s="26"/>
      <c r="E1" s="26"/>
    </row>
    <row r="3" spans="1:5" ht="32.1" customHeight="1" x14ac:dyDescent="0.25">
      <c r="A3" s="11" t="s">
        <v>1925</v>
      </c>
      <c r="B3" s="11" t="s">
        <v>1926</v>
      </c>
      <c r="C3" s="11" t="s">
        <v>1927</v>
      </c>
      <c r="D3" s="11" t="s">
        <v>1640</v>
      </c>
      <c r="E3" s="11" t="s">
        <v>1720</v>
      </c>
    </row>
    <row r="4" spans="1:5" x14ac:dyDescent="0.25">
      <c r="A4" s="12" t="s">
        <v>1928</v>
      </c>
      <c r="B4" s="12" t="s">
        <v>1929</v>
      </c>
      <c r="C4" s="12" t="s">
        <v>1656</v>
      </c>
      <c r="D4" s="12" t="s">
        <v>1930</v>
      </c>
      <c r="E4" s="12" t="s">
        <v>1931</v>
      </c>
    </row>
    <row r="5" spans="1:5" x14ac:dyDescent="0.25">
      <c r="A5" s="12" t="s">
        <v>1932</v>
      </c>
      <c r="B5" s="15" t="s">
        <v>61</v>
      </c>
      <c r="C5" s="12" t="s">
        <v>1662</v>
      </c>
      <c r="D5" s="12" t="s">
        <v>1933</v>
      </c>
      <c r="E5" s="12" t="s">
        <v>1931</v>
      </c>
    </row>
    <row r="6" spans="1:5" ht="30" x14ac:dyDescent="0.25">
      <c r="A6" s="12" t="s">
        <v>1934</v>
      </c>
      <c r="B6" s="12" t="s">
        <v>1935</v>
      </c>
      <c r="C6" s="12" t="s">
        <v>1656</v>
      </c>
      <c r="D6" s="12" t="s">
        <v>1936</v>
      </c>
      <c r="E6" s="12" t="s">
        <v>1931</v>
      </c>
    </row>
    <row r="7" spans="1:5" ht="30" x14ac:dyDescent="0.25">
      <c r="A7" s="12" t="s">
        <v>1937</v>
      </c>
      <c r="B7" s="12" t="s">
        <v>1938</v>
      </c>
      <c r="C7" s="12" t="s">
        <v>1644</v>
      </c>
      <c r="D7" s="12" t="s">
        <v>1939</v>
      </c>
      <c r="E7" s="12" t="s">
        <v>1940</v>
      </c>
    </row>
    <row r="8" spans="1:5" x14ac:dyDescent="0.25">
      <c r="A8" s="12" t="s">
        <v>1941</v>
      </c>
      <c r="B8" s="12" t="s">
        <v>1095</v>
      </c>
      <c r="C8" s="12" t="s">
        <v>1644</v>
      </c>
      <c r="D8" s="12" t="s">
        <v>1942</v>
      </c>
      <c r="E8" s="12" t="s">
        <v>1931</v>
      </c>
    </row>
    <row r="9" spans="1:5" x14ac:dyDescent="0.25">
      <c r="A9" s="12" t="s">
        <v>1943</v>
      </c>
      <c r="B9" s="15">
        <v>300</v>
      </c>
      <c r="C9" s="12" t="s">
        <v>1678</v>
      </c>
      <c r="D9" s="12" t="s">
        <v>1944</v>
      </c>
      <c r="E9" s="12" t="s">
        <v>1931</v>
      </c>
    </row>
    <row r="10" spans="1:5" x14ac:dyDescent="0.25">
      <c r="A10" s="12" t="s">
        <v>1945</v>
      </c>
      <c r="B10" s="15">
        <v>1</v>
      </c>
      <c r="C10" s="12" t="s">
        <v>1678</v>
      </c>
      <c r="D10" s="12" t="s">
        <v>1946</v>
      </c>
      <c r="E10" s="12" t="s">
        <v>1931</v>
      </c>
    </row>
    <row r="11" spans="1:5" x14ac:dyDescent="0.25">
      <c r="A11" s="12" t="s">
        <v>1947</v>
      </c>
      <c r="B11" s="15">
        <v>30</v>
      </c>
      <c r="C11" s="12" t="s">
        <v>1678</v>
      </c>
      <c r="D11" s="12" t="s">
        <v>1948</v>
      </c>
      <c r="E11" s="12" t="s">
        <v>1931</v>
      </c>
    </row>
    <row r="12" spans="1:5" x14ac:dyDescent="0.25">
      <c r="A12" s="12" t="s">
        <v>1949</v>
      </c>
      <c r="B12" s="12" t="s">
        <v>1785</v>
      </c>
      <c r="C12" s="12" t="s">
        <v>1644</v>
      </c>
      <c r="D12" s="12" t="s">
        <v>1950</v>
      </c>
      <c r="E12" s="12" t="s">
        <v>1931</v>
      </c>
    </row>
    <row r="13" spans="1:5" ht="30" x14ac:dyDescent="0.25">
      <c r="A13" s="12" t="s">
        <v>1951</v>
      </c>
      <c r="B13" s="15">
        <v>2</v>
      </c>
      <c r="C13" s="12" t="s">
        <v>1678</v>
      </c>
      <c r="D13" s="12" t="s">
        <v>1952</v>
      </c>
      <c r="E13" s="12" t="s">
        <v>1931</v>
      </c>
    </row>
    <row r="14" spans="1:5" x14ac:dyDescent="0.25">
      <c r="A14" s="12" t="s">
        <v>1953</v>
      </c>
      <c r="B14" s="12" t="s">
        <v>1954</v>
      </c>
      <c r="C14" s="12" t="s">
        <v>1644</v>
      </c>
      <c r="D14" s="12" t="s">
        <v>1955</v>
      </c>
      <c r="E14" s="12" t="s">
        <v>1931</v>
      </c>
    </row>
    <row r="15" spans="1:5" ht="30" x14ac:dyDescent="0.25">
      <c r="A15" s="12" t="s">
        <v>1956</v>
      </c>
      <c r="B15" s="12" t="s">
        <v>1165</v>
      </c>
      <c r="C15" s="12" t="s">
        <v>1656</v>
      </c>
      <c r="D15" s="12" t="s">
        <v>1957</v>
      </c>
      <c r="E15" s="12" t="s">
        <v>1958</v>
      </c>
    </row>
    <row r="16" spans="1:5" ht="30" x14ac:dyDescent="0.25">
      <c r="A16" s="12" t="s">
        <v>1959</v>
      </c>
      <c r="B16" s="12" t="s">
        <v>1960</v>
      </c>
      <c r="C16" s="12" t="s">
        <v>1656</v>
      </c>
      <c r="D16" s="12" t="s">
        <v>1961</v>
      </c>
      <c r="E16" s="12" t="s">
        <v>1958</v>
      </c>
    </row>
    <row r="17" spans="1:5" ht="30" x14ac:dyDescent="0.25">
      <c r="A17" s="12" t="s">
        <v>1962</v>
      </c>
      <c r="B17" s="12" t="s">
        <v>1963</v>
      </c>
      <c r="C17" s="12" t="s">
        <v>1656</v>
      </c>
      <c r="D17" s="12" t="s">
        <v>1964</v>
      </c>
      <c r="E17" s="12" t="s">
        <v>1958</v>
      </c>
    </row>
    <row r="18" spans="1:5" x14ac:dyDescent="0.25">
      <c r="A18" s="12" t="s">
        <v>1965</v>
      </c>
      <c r="B18" s="12" t="s">
        <v>1544</v>
      </c>
      <c r="C18" s="12" t="s">
        <v>1644</v>
      </c>
      <c r="D18" s="12" t="s">
        <v>1966</v>
      </c>
      <c r="E18" s="12" t="s">
        <v>1958</v>
      </c>
    </row>
    <row r="19" spans="1:5" ht="30" x14ac:dyDescent="0.25">
      <c r="A19" s="12" t="s">
        <v>1967</v>
      </c>
      <c r="B19" s="12" t="s">
        <v>1355</v>
      </c>
      <c r="C19" s="12" t="s">
        <v>1656</v>
      </c>
      <c r="D19" s="12" t="s">
        <v>1968</v>
      </c>
      <c r="E19" s="12" t="s">
        <v>1958</v>
      </c>
    </row>
    <row r="20" spans="1:5" ht="30" x14ac:dyDescent="0.25">
      <c r="A20" s="12" t="s">
        <v>1969</v>
      </c>
      <c r="B20" s="12" t="s">
        <v>1113</v>
      </c>
      <c r="C20" s="12" t="s">
        <v>1656</v>
      </c>
      <c r="D20" s="12" t="s">
        <v>1970</v>
      </c>
      <c r="E20" s="12" t="s">
        <v>1958</v>
      </c>
    </row>
    <row r="21" spans="1:5" ht="30" x14ac:dyDescent="0.25">
      <c r="A21" s="12" t="s">
        <v>1971</v>
      </c>
      <c r="B21" s="12" t="s">
        <v>1972</v>
      </c>
      <c r="C21" s="12" t="s">
        <v>1656</v>
      </c>
      <c r="D21" s="12" t="s">
        <v>1973</v>
      </c>
      <c r="E21" s="12" t="s">
        <v>1958</v>
      </c>
    </row>
    <row r="22" spans="1:5" x14ac:dyDescent="0.25">
      <c r="A22" s="12" t="s">
        <v>1974</v>
      </c>
      <c r="B22" s="12" t="s">
        <v>1975</v>
      </c>
      <c r="C22" s="12" t="s">
        <v>1656</v>
      </c>
      <c r="D22" s="12" t="s">
        <v>1976</v>
      </c>
      <c r="E22" s="12" t="s">
        <v>1958</v>
      </c>
    </row>
    <row r="23" spans="1:5" ht="30" x14ac:dyDescent="0.25">
      <c r="A23" s="12" t="s">
        <v>1977</v>
      </c>
      <c r="B23" s="12" t="s">
        <v>1978</v>
      </c>
      <c r="C23" s="12" t="s">
        <v>1656</v>
      </c>
      <c r="D23" s="12" t="s">
        <v>1979</v>
      </c>
      <c r="E23" s="12" t="s">
        <v>1958</v>
      </c>
    </row>
    <row r="24" spans="1:5" ht="30" x14ac:dyDescent="0.25">
      <c r="A24" s="12" t="s">
        <v>1980</v>
      </c>
      <c r="B24" s="12" t="s">
        <v>1981</v>
      </c>
      <c r="C24" s="12" t="s">
        <v>1644</v>
      </c>
      <c r="D24" s="12" t="s">
        <v>1982</v>
      </c>
      <c r="E24" s="12" t="s">
        <v>1958</v>
      </c>
    </row>
    <row r="25" spans="1:5" ht="30" x14ac:dyDescent="0.25">
      <c r="A25" s="12" t="s">
        <v>1983</v>
      </c>
      <c r="B25" s="12" t="s">
        <v>1984</v>
      </c>
      <c r="C25" s="12" t="s">
        <v>1656</v>
      </c>
      <c r="D25" s="12" t="s">
        <v>1985</v>
      </c>
      <c r="E25" s="12" t="s">
        <v>1958</v>
      </c>
    </row>
    <row r="26" spans="1:5" x14ac:dyDescent="0.25">
      <c r="A26" s="12" t="s">
        <v>1986</v>
      </c>
      <c r="B26" s="12" t="s">
        <v>1645</v>
      </c>
      <c r="C26" s="12" t="s">
        <v>1644</v>
      </c>
      <c r="D26" s="12" t="s">
        <v>1987</v>
      </c>
      <c r="E26" s="12" t="s">
        <v>1958</v>
      </c>
    </row>
    <row r="27" spans="1:5" x14ac:dyDescent="0.25">
      <c r="A27" s="12" t="s">
        <v>1988</v>
      </c>
      <c r="B27" s="12" t="s">
        <v>1645</v>
      </c>
      <c r="C27" s="12" t="s">
        <v>1644</v>
      </c>
      <c r="D27" s="12" t="s">
        <v>1989</v>
      </c>
      <c r="E27" s="12" t="s">
        <v>1958</v>
      </c>
    </row>
    <row r="28" spans="1:5" x14ac:dyDescent="0.25">
      <c r="A28" s="12" t="s">
        <v>1990</v>
      </c>
      <c r="B28" s="12" t="s">
        <v>1991</v>
      </c>
      <c r="C28" s="12" t="s">
        <v>1656</v>
      </c>
      <c r="D28" s="12" t="s">
        <v>1992</v>
      </c>
      <c r="E28" s="12" t="s">
        <v>1958</v>
      </c>
    </row>
    <row r="29" spans="1:5" x14ac:dyDescent="0.25">
      <c r="A29" s="12" t="s">
        <v>1993</v>
      </c>
      <c r="B29" s="12" t="s">
        <v>1994</v>
      </c>
      <c r="C29" s="12" t="s">
        <v>1656</v>
      </c>
      <c r="D29" s="12" t="s">
        <v>1995</v>
      </c>
      <c r="E29" s="12" t="s">
        <v>1958</v>
      </c>
    </row>
    <row r="30" spans="1:5" x14ac:dyDescent="0.25">
      <c r="A30" s="12" t="s">
        <v>1996</v>
      </c>
      <c r="B30" s="12" t="s">
        <v>61</v>
      </c>
      <c r="C30" s="12" t="s">
        <v>1662</v>
      </c>
      <c r="D30" s="12" t="s">
        <v>1997</v>
      </c>
      <c r="E30" s="12" t="s">
        <v>1958</v>
      </c>
    </row>
    <row r="31" spans="1:5" x14ac:dyDescent="0.25">
      <c r="A31" s="12" t="s">
        <v>1998</v>
      </c>
      <c r="B31" s="12" t="s">
        <v>61</v>
      </c>
      <c r="C31" s="12" t="s">
        <v>1662</v>
      </c>
      <c r="D31" s="12" t="s">
        <v>1999</v>
      </c>
      <c r="E31" s="12" t="s">
        <v>1958</v>
      </c>
    </row>
    <row r="32" spans="1:5" ht="30" x14ac:dyDescent="0.25">
      <c r="A32" s="12" t="s">
        <v>2000</v>
      </c>
      <c r="B32" s="12">
        <v>0.3</v>
      </c>
      <c r="C32" s="12" t="s">
        <v>1678</v>
      </c>
      <c r="D32" s="12" t="s">
        <v>2001</v>
      </c>
      <c r="E32" s="12" t="s">
        <v>1958</v>
      </c>
    </row>
    <row r="33" spans="1:5" x14ac:dyDescent="0.25">
      <c r="A33" s="12" t="s">
        <v>2002</v>
      </c>
      <c r="B33" s="12">
        <v>0.3</v>
      </c>
      <c r="C33" s="12" t="s">
        <v>1678</v>
      </c>
      <c r="D33" s="12" t="s">
        <v>2003</v>
      </c>
      <c r="E33" s="12" t="s">
        <v>1958</v>
      </c>
    </row>
    <row r="34" spans="1:5" ht="30" x14ac:dyDescent="0.25">
      <c r="A34" s="12" t="s">
        <v>2004</v>
      </c>
      <c r="B34" s="12">
        <v>0.3</v>
      </c>
      <c r="C34" s="12" t="s">
        <v>1678</v>
      </c>
      <c r="D34" s="12" t="s">
        <v>2005</v>
      </c>
      <c r="E34" s="12" t="s">
        <v>1958</v>
      </c>
    </row>
    <row r="35" spans="1:5" ht="30" x14ac:dyDescent="0.25">
      <c r="A35" s="12" t="s">
        <v>2006</v>
      </c>
      <c r="B35" s="12">
        <v>5.0000000000000001E-3</v>
      </c>
      <c r="C35" s="12" t="s">
        <v>1678</v>
      </c>
      <c r="D35" s="12" t="s">
        <v>2007</v>
      </c>
      <c r="E35" s="12" t="s">
        <v>1958</v>
      </c>
    </row>
    <row r="36" spans="1:5" ht="30" x14ac:dyDescent="0.25">
      <c r="A36" s="12" t="s">
        <v>2008</v>
      </c>
      <c r="B36" s="12" t="s">
        <v>61</v>
      </c>
      <c r="C36" s="12" t="s">
        <v>1662</v>
      </c>
      <c r="D36" s="12" t="s">
        <v>2009</v>
      </c>
      <c r="E36" s="12" t="s">
        <v>1958</v>
      </c>
    </row>
    <row r="37" spans="1:5" x14ac:dyDescent="0.25">
      <c r="A37" s="12" t="s">
        <v>2010</v>
      </c>
      <c r="B37" s="12" t="s">
        <v>2011</v>
      </c>
      <c r="C37" s="12" t="s">
        <v>1656</v>
      </c>
      <c r="D37" s="12" t="s">
        <v>2012</v>
      </c>
      <c r="E37" s="12" t="s">
        <v>1958</v>
      </c>
    </row>
    <row r="38" spans="1:5" ht="30" x14ac:dyDescent="0.25">
      <c r="A38" s="12" t="s">
        <v>2013</v>
      </c>
      <c r="B38" s="12" t="s">
        <v>2014</v>
      </c>
      <c r="C38" s="12" t="s">
        <v>1656</v>
      </c>
      <c r="D38" s="12" t="s">
        <v>2015</v>
      </c>
      <c r="E38" s="12" t="s">
        <v>1958</v>
      </c>
    </row>
    <row r="39" spans="1:5" x14ac:dyDescent="0.25">
      <c r="A39" s="12" t="s">
        <v>2016</v>
      </c>
      <c r="B39" s="12">
        <v>30</v>
      </c>
      <c r="C39" s="12" t="s">
        <v>1678</v>
      </c>
      <c r="D39" s="12" t="s">
        <v>2017</v>
      </c>
      <c r="E39" s="12" t="s">
        <v>1958</v>
      </c>
    </row>
  </sheetData>
  <mergeCells count="1">
    <mergeCell ref="A1:E1"/>
  </mergeCells>
  <phoneticPr fontId="4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4"/>
  <sheetViews>
    <sheetView showGridLines="0" workbookViewId="0"/>
  </sheetViews>
  <sheetFormatPr defaultRowHeight="15" x14ac:dyDescent="0.25"/>
  <cols>
    <col min="1" max="1" width="12" style="1" customWidth="1"/>
    <col min="2" max="2" width="20" style="1" customWidth="1"/>
    <col min="3" max="3" width="16" style="1" customWidth="1"/>
    <col min="4" max="5" width="34" style="1" customWidth="1"/>
    <col min="6" max="6" width="16" style="1" customWidth="1"/>
  </cols>
  <sheetData>
    <row r="1" spans="1:6" ht="24" customHeight="1" x14ac:dyDescent="0.25">
      <c r="A1" s="25" t="s">
        <v>2018</v>
      </c>
      <c r="B1" s="26"/>
      <c r="C1" s="26"/>
      <c r="D1" s="26"/>
      <c r="E1" s="26"/>
      <c r="F1" s="26"/>
    </row>
    <row r="3" spans="1:6" ht="32.1" customHeight="1" x14ac:dyDescent="0.25">
      <c r="A3" s="11" t="s">
        <v>1156</v>
      </c>
      <c r="B3" s="11" t="s">
        <v>2019</v>
      </c>
      <c r="C3" s="11" t="s">
        <v>2020</v>
      </c>
      <c r="D3" s="11" t="s">
        <v>2021</v>
      </c>
      <c r="E3" s="11" t="s">
        <v>2022</v>
      </c>
      <c r="F3" s="11" t="s">
        <v>1543</v>
      </c>
    </row>
    <row r="4" spans="1:6" ht="45" x14ac:dyDescent="0.25">
      <c r="A4" s="15" t="s">
        <v>2023</v>
      </c>
      <c r="B4" s="12" t="s">
        <v>1558</v>
      </c>
      <c r="C4" s="12" t="s">
        <v>2024</v>
      </c>
      <c r="D4" s="12" t="s">
        <v>2025</v>
      </c>
      <c r="E4" s="12" t="s">
        <v>2026</v>
      </c>
      <c r="F4" s="12" t="s">
        <v>2027</v>
      </c>
    </row>
    <row r="5" spans="1:6" ht="30" x14ac:dyDescent="0.25">
      <c r="A5" s="15" t="s">
        <v>2023</v>
      </c>
      <c r="B5" s="12" t="s">
        <v>2028</v>
      </c>
      <c r="C5" s="12" t="s">
        <v>2029</v>
      </c>
      <c r="D5" s="12" t="s">
        <v>2030</v>
      </c>
      <c r="E5" s="12" t="s">
        <v>2031</v>
      </c>
      <c r="F5" s="12" t="s">
        <v>2032</v>
      </c>
    </row>
    <row r="6" spans="1:6" ht="45" x14ac:dyDescent="0.25">
      <c r="A6" s="15" t="s">
        <v>2023</v>
      </c>
      <c r="B6" s="12" t="s">
        <v>1544</v>
      </c>
      <c r="C6" s="12" t="s">
        <v>2033</v>
      </c>
      <c r="D6" s="12" t="s">
        <v>2034</v>
      </c>
      <c r="E6" s="12" t="s">
        <v>2035</v>
      </c>
      <c r="F6" s="12" t="s">
        <v>2036</v>
      </c>
    </row>
    <row r="7" spans="1:6" ht="45" x14ac:dyDescent="0.25">
      <c r="A7" s="15" t="s">
        <v>2037</v>
      </c>
      <c r="B7" s="12" t="s">
        <v>1785</v>
      </c>
      <c r="C7" s="12" t="s">
        <v>2033</v>
      </c>
      <c r="D7" s="12" t="s">
        <v>2038</v>
      </c>
      <c r="E7" s="12" t="s">
        <v>2039</v>
      </c>
      <c r="F7" s="12" t="s">
        <v>2040</v>
      </c>
    </row>
    <row r="8" spans="1:6" ht="30" x14ac:dyDescent="0.25">
      <c r="A8" s="15" t="s">
        <v>2037</v>
      </c>
      <c r="B8" s="12" t="s">
        <v>2041</v>
      </c>
      <c r="C8" s="12" t="s">
        <v>2042</v>
      </c>
      <c r="D8" s="12" t="s">
        <v>2043</v>
      </c>
      <c r="E8" s="12" t="s">
        <v>2044</v>
      </c>
      <c r="F8" s="12" t="s">
        <v>1614</v>
      </c>
    </row>
    <row r="9" spans="1:6" ht="45" x14ac:dyDescent="0.25">
      <c r="A9" s="15" t="s">
        <v>2023</v>
      </c>
      <c r="B9" s="12" t="s">
        <v>1544</v>
      </c>
      <c r="C9" s="12" t="s">
        <v>2045</v>
      </c>
      <c r="D9" s="12" t="s">
        <v>2046</v>
      </c>
      <c r="E9" s="12" t="s">
        <v>2047</v>
      </c>
      <c r="F9" s="12" t="s">
        <v>2048</v>
      </c>
    </row>
    <row r="10" spans="1:6" ht="45" x14ac:dyDescent="0.25">
      <c r="A10" s="15" t="s">
        <v>2023</v>
      </c>
      <c r="B10" s="12" t="s">
        <v>1785</v>
      </c>
      <c r="C10" s="12" t="s">
        <v>2049</v>
      </c>
      <c r="D10" s="12" t="s">
        <v>2050</v>
      </c>
      <c r="E10" s="12" t="s">
        <v>2051</v>
      </c>
      <c r="F10" s="12" t="s">
        <v>2040</v>
      </c>
    </row>
    <row r="11" spans="1:6" ht="30" x14ac:dyDescent="0.25">
      <c r="A11" s="15" t="s">
        <v>2023</v>
      </c>
      <c r="B11" s="12" t="s">
        <v>1981</v>
      </c>
      <c r="C11" s="12" t="s">
        <v>2052</v>
      </c>
      <c r="D11" s="12" t="s">
        <v>2053</v>
      </c>
      <c r="E11" s="12" t="s">
        <v>2054</v>
      </c>
      <c r="F11" s="12" t="s">
        <v>2055</v>
      </c>
    </row>
    <row r="12" spans="1:6" ht="30" x14ac:dyDescent="0.25">
      <c r="A12" s="15" t="s">
        <v>2023</v>
      </c>
      <c r="B12" s="12" t="s">
        <v>2056</v>
      </c>
      <c r="C12" s="12" t="s">
        <v>2049</v>
      </c>
      <c r="D12" s="12" t="s">
        <v>2057</v>
      </c>
      <c r="E12" s="12" t="s">
        <v>2058</v>
      </c>
      <c r="F12" s="12" t="s">
        <v>2059</v>
      </c>
    </row>
    <row r="13" spans="1:6" ht="45" x14ac:dyDescent="0.25">
      <c r="A13" s="16" t="s">
        <v>2023</v>
      </c>
      <c r="B13" s="16" t="s">
        <v>2060</v>
      </c>
      <c r="C13" s="16" t="s">
        <v>2049</v>
      </c>
      <c r="D13" s="16" t="s">
        <v>2061</v>
      </c>
      <c r="E13" s="16" t="s">
        <v>2062</v>
      </c>
      <c r="F13" s="16" t="s">
        <v>2063</v>
      </c>
    </row>
    <row r="14" spans="1:6" ht="45" x14ac:dyDescent="0.25">
      <c r="A14" s="12" t="s">
        <v>2023</v>
      </c>
      <c r="B14" s="12" t="s">
        <v>2064</v>
      </c>
      <c r="C14" s="12" t="s">
        <v>2049</v>
      </c>
      <c r="D14" s="12" t="s">
        <v>2065</v>
      </c>
      <c r="E14" s="12" t="s">
        <v>2066</v>
      </c>
      <c r="F14" s="12" t="s">
        <v>2067</v>
      </c>
    </row>
  </sheetData>
  <mergeCells count="1">
    <mergeCell ref="A1:F1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14</vt:i4>
      </vt:variant>
    </vt:vector>
  </HeadingPairs>
  <TitlesOfParts>
    <vt:vector size="14" baseType="lpstr">
      <vt:lpstr>README</vt:lpstr>
      <vt:lpstr>products_master</vt:lpstr>
      <vt:lpstr>packages_master</vt:lpstr>
      <vt:lpstr>boxes_master</vt:lpstr>
      <vt:lpstr>package_bom_master</vt:lpstr>
      <vt:lpstr>fullboxes_master</vt:lpstr>
      <vt:lpstr>fullbox_cartons_master</vt:lpstr>
      <vt:lpstr>engine_flow</vt:lpstr>
      <vt:lpstr>input_json_schema</vt:lpstr>
      <vt:lpstr>output_schema</vt:lpstr>
      <vt:lpstr>output_json_schema</vt:lpstr>
      <vt:lpstr>json_examples</vt:lpstr>
      <vt:lpstr>rules_master</vt:lpstr>
      <vt:lpstr>engine_gap_review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2026-03-10T11:04:18Z</dcterms:created>
  <dcterms:modified xsi:type="dcterms:W3CDTF">2026-03-16T23:32:16Z</dcterms:modified>
</cp:coreProperties>
</file>