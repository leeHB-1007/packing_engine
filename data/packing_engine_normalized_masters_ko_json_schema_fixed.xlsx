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README" sheetId="1" state="visible" r:id="rId1"/>
    <sheet name="products_master" sheetId="2" state="visible" r:id="rId2"/>
    <sheet name="packages_master" sheetId="3" state="visible" r:id="rId3"/>
    <sheet name="boxes_master" sheetId="4" state="visible" r:id="rId4"/>
    <sheet name="package_bom_master" sheetId="5" state="visible" r:id="rId5"/>
    <sheet name="fullboxes_master" sheetId="6" state="visible" r:id="rId6"/>
    <sheet name="fullbox_cartons_master" sheetId="7" state="visible" r:id="rId7"/>
    <sheet name="engine_flow" sheetId="8" state="visible" r:id="rId8"/>
    <sheet name="input_json_schema" sheetId="9" state="visible" r:id="rId9"/>
    <sheet name="output_schema" sheetId="10" state="visible" r:id="rId10"/>
    <sheet name="output_json_schema" sheetId="11" state="visible" r:id="rId11"/>
    <sheet name="json_examples" sheetId="12" state="visible" r:id="rId12"/>
    <sheet name="rules_master" sheetId="13" state="visible" r:id="rId13"/>
    <sheet name="engine_gap_review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_);[Red]\(0\)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charset val="129"/>
      <family val="3"/>
      <sz val="8"/>
      <scheme val="minor"/>
    </font>
    <font>
      <name val="Calibri"/>
      <family val="2"/>
      <color rgb="FF000000"/>
      <sz val="11"/>
    </font>
    <font>
      <name val="Calibri"/>
      <charset val="129"/>
      <family val="3"/>
      <color rgb="FF000000"/>
      <sz val="11"/>
    </font>
    <font>
      <name val="Calibri"/>
      <charset val="129"/>
      <family val="2"/>
      <color rgb="FF000000"/>
      <sz val="11"/>
    </font>
    <font>
      <name val="Calibri"/>
      <charset val="129"/>
      <family val="3"/>
      <color theme="1"/>
      <sz val="11"/>
      <scheme val="minor"/>
    </font>
    <font>
      <name val="돋움"/>
      <charset val="129"/>
      <family val="2"/>
      <color rgb="FF000000"/>
      <sz val="11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2">
    <xf numFmtId="0" fontId="0" fillId="2" borderId="0"/>
    <xf numFmtId="0" fontId="8" fillId="0" borderId="0" applyAlignment="1">
      <alignment vertical="center"/>
    </xf>
  </cellStyleXfs>
  <cellXfs count="61">
    <xf numFmtId="0" fontId="0" fillId="0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1" fontId="3" fillId="6" borderId="1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1" applyAlignment="1" pivotButton="0" quotePrefix="0" xfId="0">
      <alignment horizontal="center" vertical="center"/>
    </xf>
    <xf numFmtId="1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center" vertical="center"/>
    </xf>
    <xf numFmtId="0" fontId="3" fillId="5" borderId="11" applyAlignment="1" pivotButton="0" quotePrefix="0" xfId="0">
      <alignment horizontal="left" vertical="center"/>
    </xf>
    <xf numFmtId="0" fontId="3" fillId="5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1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showGridLines="0" tabSelected="1" topLeftCell="A10" workbookViewId="0">
      <selection activeCell="A41" sqref="A41"/>
    </sheetView>
  </sheetViews>
  <sheetFormatPr baseColWidth="8" defaultRowHeight="15"/>
  <cols>
    <col width="120" customWidth="1" style="42" min="1" max="1"/>
  </cols>
  <sheetData>
    <row r="1" ht="24" customHeight="1" s="42">
      <c r="A1" s="41" t="inlineStr">
        <is>
          <t>업로드한 원본 파일을 기준으로 계산 엔진용 정규화 마스터를 만든 통합 워크북입니다.</t>
        </is>
      </c>
    </row>
    <row r="2">
      <c r="A2" s="2" t="inlineStr">
        <is>
          <t>시트 안내:</t>
        </is>
      </c>
    </row>
    <row r="3" ht="32.1" customHeight="1" s="42">
      <c r="A3" s="6" t="inlineStr">
        <is>
          <t>1) products_master: 제품규격표 기준 상품 규격/중량 마스터</t>
        </is>
      </c>
    </row>
    <row r="4">
      <c r="A4" s="6" t="inlineStr">
        <is>
          <t>2) boxes_master: 보유 박스 정보 기준 박스 마스터</t>
        </is>
      </c>
    </row>
    <row r="5">
      <c r="A5" s="6" t="inlineStr">
        <is>
          <t>3) packages_master: 패키지 상품 정보 기준 패키지 마스터</t>
        </is>
      </c>
    </row>
    <row r="6">
      <c r="A6" s="6" t="inlineStr">
        <is>
          <t>4) fullboxes_master: 완박스 정보 기준 완박스 마스터</t>
        </is>
      </c>
    </row>
    <row r="7">
      <c r="A7" s="6" t="inlineStr">
        <is>
          <t>적용 규칙:</t>
        </is>
      </c>
    </row>
    <row r="8">
      <c r="A8" s="6" t="inlineStr">
        <is>
          <t>1) 상품/패키지 규격은 mm → cm 로 변환</t>
        </is>
      </c>
    </row>
    <row r="9">
      <c r="A9" s="6" t="inlineStr">
        <is>
          <t>2) 상품/패키지 중량은 g → kg 로 변환</t>
        </is>
      </c>
    </row>
    <row r="10">
      <c r="A10" s="6" t="inlineStr">
        <is>
          <t>3) 박스 내경은 외경 - 1cm 로 계산</t>
        </is>
      </c>
    </row>
    <row r="11">
      <c r="A11" s="6" t="inlineStr">
        <is>
          <t>4) 보유 박스 최대허용중량은 30kg 기준으로 표준화</t>
        </is>
      </c>
    </row>
    <row r="12">
      <c r="A12" s="2" t="n"/>
    </row>
    <row r="13">
      <c r="A13" s="6" t="inlineStr">
        <is>
          <t>추가 시트 안내:</t>
        </is>
      </c>
    </row>
    <row r="14">
      <c r="A14" s="6" t="inlineStr">
        <is>
          <t>4) rules_master: 현재 합의된 패킹 규칙을 키-값 형태로 정리한 시트</t>
        </is>
      </c>
    </row>
    <row r="15">
      <c r="A15" s="6" t="inlineStr">
        <is>
          <t>5) engine_gap_review: 계산 엔진 투입 전 남아 있는 구조 갭과 권장 보완사항</t>
        </is>
      </c>
    </row>
    <row r="16">
      <c r="A16" s="6" t="inlineStr">
        <is>
          <t>엔진 보완 메모:</t>
        </is>
      </c>
    </row>
    <row r="17">
      <c r="A17" s="6" t="inlineStr">
        <is>
          <t>- products_master에 패키지상품여부 / 특수우선박스코드 / 특수우선입수량 / 패킹정책코드 컬럼 추가</t>
        </is>
      </c>
    </row>
    <row r="18">
      <c r="A18" s="6" t="inlineStr">
        <is>
          <t>- boxes_master에 박스정렬우선순위 컬럼 추가(큰 박스 우선)</t>
        </is>
      </c>
    </row>
    <row r="19">
      <c r="A19" s="6" t="inlineStr">
        <is>
          <t>- fullboxes_master는 현재 boxes_master와 직접 매핑되는 표준 박스코드가 없음</t>
        </is>
      </c>
    </row>
    <row r="20">
      <c r="A20" s="2" t="n"/>
    </row>
    <row r="21">
      <c r="A21" s="6" t="inlineStr">
        <is>
          <t>추가 확정 사항:</t>
        </is>
      </c>
    </row>
    <row r="22">
      <c r="A22" s="6" t="inlineStr">
        <is>
          <t>- fullboxes_master는 boxes_master와 직접 매핑하지 않고, 완박스 자체 출고 카톤(OWN_CARTON)으로 처리</t>
        </is>
      </c>
    </row>
    <row r="23">
      <c r="A23" s="6" t="inlineStr">
        <is>
          <t>- 출고 순서는 완박스 우선 배정 후 잔량만 재포장(REMAINDER_TO_REPACK)</t>
        </is>
      </c>
    </row>
    <row r="24">
      <c r="A24" s="6" t="inlineStr">
        <is>
          <t>- 규격/중량 누락으로 수동 검토가 필요한 완박스 행: 97</t>
        </is>
      </c>
    </row>
    <row r="25">
      <c r="A25" s="7" t="n"/>
    </row>
    <row r="26">
      <c r="A26" s="7" t="inlineStr">
        <is>
          <t>[패키지 정책 확정]</t>
        </is>
      </c>
    </row>
    <row r="27">
      <c r="A27" s="7" t="inlineStr">
        <is>
          <t>- 패키지 상품은 기본적으로 해체하지 않고 패키지 상태 그대로 계산</t>
        </is>
      </c>
    </row>
    <row r="28">
      <c r="A28" s="7" t="inlineStr">
        <is>
          <t>- 패키지 SKU에 대한 재포장 계산은 packages_master의 패키지 외형/중량 기준으로 처리</t>
        </is>
      </c>
    </row>
    <row r="29">
      <c r="A29" s="7" t="inlineStr">
        <is>
          <t>- 해체 계산은 package_bom_master에 BOM이 존재하고, packages_master의 해체정책이 허용하며, 실제 필요할 때만 가능</t>
        </is>
      </c>
    </row>
    <row r="30">
      <c r="A30" s="7" t="inlineStr">
        <is>
          <t>- BOM이 없으면 해체 계산은 하지 않으며 패키지 상태 유지 또는 수동 검토로 분기</t>
        </is>
      </c>
    </row>
    <row r="32">
      <c r="A32" t="inlineStr">
        <is>
          <t>[엔진 처리 흐름 확정]</t>
        </is>
      </c>
    </row>
    <row r="33">
      <c r="A33" t="inlineStr">
        <is>
          <t>- engine_flow: 입력 -&gt; 유형판별 -&gt; 완박스 -&gt; 패키지 -&gt; 특수규칙 -&gt; 일반패킹 -&gt; 중량검증 -&gt; 공간검증 -&gt; 출력 생성 순서 확정</t>
        </is>
      </c>
    </row>
    <row r="34">
      <c r="A34" t="inlineStr">
        <is>
          <t>- output_schema: 패킹리스트 템플릿에 필요한 최소 출력 필드와 생성 규칙 정의</t>
        </is>
      </c>
    </row>
    <row r="36">
      <c r="A36" t="inlineStr">
        <is>
          <t>[입출력 JSON 스키마 확정]</t>
        </is>
      </c>
    </row>
    <row r="37">
      <c r="A37" t="inlineStr">
        <is>
          <t>- input_json_schema: 계산 엔진 요청 JSON의 필수/선택 필드, 검증 규칙, 예시값 정의</t>
        </is>
      </c>
    </row>
    <row r="38">
      <c r="A38" t="inlineStr">
        <is>
          <t>- output_json_schema: 엔진 응답 JSON의 계층 구조와 카톤/아이템/수동검토 필드 정의</t>
        </is>
      </c>
    </row>
    <row r="39">
      <c r="A39" t="inlineStr">
        <is>
          <t>- json_examples: 요청/응답 JSON 샘플</t>
        </is>
      </c>
    </row>
    <row r="41">
      <c r="A41" t="inlineStr">
        <is>
          <t>[완박스 잔량 혼합 정책 확정]</t>
        </is>
      </c>
    </row>
    <row r="42">
      <c r="A42" t="inlineStr">
        <is>
          <t>- FULLBOX 포장 시 상품별 단독 완박스를 먼저 최대 배정</t>
        </is>
      </c>
    </row>
    <row r="43">
      <c r="A43" t="inlineStr">
        <is>
          <t>- 잔량은 동일 완박스혼합그룹을 우선 합포</t>
        </is>
      </c>
    </row>
    <row r="44">
      <c r="A44" t="inlineStr">
        <is>
          <t>- 그룹이 달라도 완박스입수량/완박스박스코드가 같고 치수 및 개당중량 차이가 허용오차 이내이며 혼합완박스허용여부=Y면 합포 가능</t>
        </is>
      </c>
    </row>
    <row r="45">
      <c r="A45" t="inlineStr">
        <is>
          <t>- 허용오차: 가로/세로/높이 0.3cm, 개당중량 0.005kg</t>
        </is>
      </c>
    </row>
    <row r="46">
      <c r="A46" t="inlineStr">
        <is>
          <t>- 상품 매칭 실패 시 수동검토 없이 MATCH_FAILED로 종료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2"/>
  <sheetViews>
    <sheetView showGridLines="0" zoomScale="85" zoomScaleNormal="85" workbookViewId="0">
      <pane xSplit="1" ySplit="3" topLeftCell="B458" activePane="bottomRight" state="frozen"/>
      <selection pane="topRight" activeCell="B1" sqref="B1"/>
      <selection pane="bottomLeft" activeCell="A4" sqref="A4"/>
      <selection pane="bottomRight" activeCell="H474" sqref="H474"/>
    </sheetView>
  </sheetViews>
  <sheetFormatPr baseColWidth="8" defaultRowHeight="15"/>
  <cols>
    <col width="9.28515625" customWidth="1" style="42" min="1" max="1"/>
    <col width="40.42578125" customWidth="1" style="42" min="2" max="2"/>
    <col width="9.42578125" customWidth="1" style="42" min="3" max="5"/>
    <col width="12.85546875" customWidth="1" style="42" min="6" max="6"/>
    <col width="12.5703125" customWidth="1" style="42" min="7" max="7"/>
    <col width="9.28515625" customWidth="1" style="42" min="8" max="8"/>
    <col width="14.7109375" customWidth="1" style="42" min="9" max="9"/>
    <col width="14" customWidth="1" style="42" min="10" max="10"/>
    <col width="16" customWidth="1" style="42" min="11" max="11"/>
    <col width="14" customWidth="1" style="42" min="12" max="12"/>
    <col width="18.28515625" bestFit="1" customWidth="1" style="42" min="13" max="13"/>
    <col width="16" customWidth="1" style="42" min="14" max="14"/>
    <col width="14" customWidth="1" style="42" min="15" max="15"/>
    <col width="16" customWidth="1" style="42" min="16" max="16"/>
    <col width="18" customWidth="1" style="42" min="17" max="17"/>
    <col width="16" customWidth="1" style="42" min="18" max="19"/>
  </cols>
  <sheetData>
    <row r="1" ht="24" customHeight="1" s="42">
      <c r="A1" s="41" t="inlineStr">
        <is>
          <t>제품규격표.xlsx 기준 정규화</t>
        </is>
      </c>
      <c r="J1" s="41" t="n"/>
      <c r="K1" s="41" t="n"/>
      <c r="L1" s="41" t="n"/>
      <c r="M1" s="41" t="n"/>
      <c r="O1" s="41" t="n"/>
      <c r="P1" s="41" t="n"/>
      <c r="Q1" s="41" t="n"/>
      <c r="R1" s="41" t="n"/>
      <c r="S1" s="41" t="n"/>
    </row>
    <row r="2">
      <c r="O2" s="1" t="n"/>
      <c r="P2" s="1" t="n"/>
      <c r="Q2" s="1" t="n"/>
      <c r="R2" s="1" t="n"/>
      <c r="S2" s="1" t="n"/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가로(cm)</t>
        </is>
      </c>
      <c r="D3" s="43" t="inlineStr">
        <is>
          <t>세로(cm)</t>
        </is>
      </c>
      <c r="E3" s="43" t="inlineStr">
        <is>
          <t>높이(cm)</t>
        </is>
      </c>
      <c r="F3" s="43" t="inlineStr">
        <is>
          <t>개당중량(kg)</t>
        </is>
      </c>
      <c r="G3" s="43" t="inlineStr">
        <is>
          <t>특수상품군</t>
        </is>
      </c>
      <c r="H3" s="43" t="inlineStr">
        <is>
          <t>사용여부</t>
        </is>
      </c>
      <c r="I3" s="43" t="inlineStr">
        <is>
          <t>원본파일</t>
        </is>
      </c>
      <c r="J3" s="43" t="inlineStr">
        <is>
          <t>패키지상품여부</t>
        </is>
      </c>
      <c r="K3" s="43" t="inlineStr">
        <is>
          <t>특수우선박스코드</t>
        </is>
      </c>
      <c r="L3" s="43" t="inlineStr">
        <is>
          <t>특수우선입수량</t>
        </is>
      </c>
      <c r="M3" s="43" t="inlineStr">
        <is>
          <t>패킹정책코드</t>
        </is>
      </c>
      <c r="N3" s="43" t="inlineStr">
        <is>
          <t>패키지정책참조</t>
        </is>
      </c>
      <c r="O3" s="43" t="inlineStr">
        <is>
          <t>완박스입수량</t>
        </is>
      </c>
      <c r="P3" s="43" t="inlineStr">
        <is>
          <t>완박스박스코드</t>
        </is>
      </c>
      <c r="Q3" s="43" t="inlineStr">
        <is>
          <t>완박스박스명</t>
        </is>
      </c>
      <c r="R3" s="43" t="inlineStr">
        <is>
          <t>혼합완박스허용여부</t>
        </is>
      </c>
      <c r="S3" s="43" t="inlineStr">
        <is>
          <t>완박스혼합그룹</t>
        </is>
      </c>
    </row>
    <row r="4" ht="16.5" customHeight="1" s="42">
      <c r="A4" t="inlineStr">
        <is>
          <t>A100210</t>
        </is>
      </c>
      <c r="B4" t="inlineStr">
        <is>
          <t>엑스톡스100u</t>
        </is>
      </c>
      <c r="C4" t="n">
        <v>7.1</v>
      </c>
      <c r="D4" t="n">
        <v>4.9</v>
      </c>
      <c r="E4" t="n">
        <v>3.7</v>
      </c>
      <c r="F4" t="n">
        <v>0.025</v>
      </c>
      <c r="H4" t="inlineStr">
        <is>
          <t>Y</t>
        </is>
      </c>
      <c r="I4" t="inlineStr">
        <is>
          <t>제품규격표.xlsx</t>
        </is>
      </c>
    </row>
    <row r="5">
      <c r="A5" t="inlineStr">
        <is>
          <t>A100220</t>
        </is>
      </c>
      <c r="B5" t="inlineStr">
        <is>
          <t>엑스톡스200u</t>
        </is>
      </c>
      <c r="C5" t="n">
        <v>7.1</v>
      </c>
      <c r="D5" t="n">
        <v>4.9</v>
      </c>
      <c r="E5" t="n">
        <v>3.7</v>
      </c>
      <c r="F5" t="n">
        <v>0.025</v>
      </c>
      <c r="H5" t="inlineStr">
        <is>
          <t>Y</t>
        </is>
      </c>
      <c r="I5" t="inlineStr">
        <is>
          <t>제품규격표.xlsx</t>
        </is>
      </c>
    </row>
    <row r="6">
      <c r="A6" t="inlineStr">
        <is>
          <t>A200135</t>
        </is>
      </c>
      <c r="B6" t="inlineStr">
        <is>
          <t>드메이 #4 슈퍼하드</t>
        </is>
      </c>
      <c r="C6" t="n">
        <v>19.4</v>
      </c>
      <c r="D6" t="n">
        <v>7.3</v>
      </c>
      <c r="E6" t="n">
        <v>2.9</v>
      </c>
      <c r="F6" t="n">
        <v>0.05</v>
      </c>
      <c r="H6" t="inlineStr">
        <is>
          <t>Y</t>
        </is>
      </c>
      <c r="I6" t="inlineStr">
        <is>
          <t>제품규격표.xlsx</t>
        </is>
      </c>
      <c r="M6" t="inlineStr">
        <is>
          <t>BOX_CAP_BX010_300_BX008_200</t>
        </is>
      </c>
    </row>
    <row r="7">
      <c r="A7" t="inlineStr">
        <is>
          <t>A200140</t>
        </is>
      </c>
      <c r="B7" t="inlineStr">
        <is>
          <t>드메이 #3</t>
        </is>
      </c>
      <c r="C7" t="n">
        <v>19.4</v>
      </c>
      <c r="D7" t="n">
        <v>7.3</v>
      </c>
      <c r="E7" t="n">
        <v>2.9</v>
      </c>
      <c r="F7" t="n">
        <v>0.05</v>
      </c>
      <c r="H7" t="inlineStr">
        <is>
          <t>Y</t>
        </is>
      </c>
      <c r="I7" t="inlineStr">
        <is>
          <t>제품규격표.xlsx</t>
        </is>
      </c>
      <c r="M7" t="inlineStr">
        <is>
          <t>BOX_CAP_BX010_300_BX008_200</t>
        </is>
      </c>
    </row>
    <row r="8">
      <c r="A8" t="inlineStr">
        <is>
          <t>A200145</t>
        </is>
      </c>
      <c r="B8" t="inlineStr">
        <is>
          <t>드메이 #2</t>
        </is>
      </c>
      <c r="C8" t="n">
        <v>19.4</v>
      </c>
      <c r="D8" t="n">
        <v>7.3</v>
      </c>
      <c r="E8" t="n">
        <v>2.9</v>
      </c>
      <c r="F8" t="n">
        <v>0.05</v>
      </c>
      <c r="H8" t="inlineStr">
        <is>
          <t>Y</t>
        </is>
      </c>
      <c r="I8" t="inlineStr">
        <is>
          <t>제품규격표.xlsx</t>
        </is>
      </c>
      <c r="M8" t="inlineStr">
        <is>
          <t>BOX_CAP_BX010_300_BX008_200</t>
        </is>
      </c>
    </row>
    <row r="9">
      <c r="A9" t="inlineStr">
        <is>
          <t>A200150</t>
        </is>
      </c>
      <c r="B9" t="inlineStr">
        <is>
          <t>드메이 #1</t>
        </is>
      </c>
      <c r="C9" t="n">
        <v>19.4</v>
      </c>
      <c r="D9" t="n">
        <v>7.3</v>
      </c>
      <c r="E9" t="n">
        <v>2.9</v>
      </c>
      <c r="F9" t="n">
        <v>0.05</v>
      </c>
      <c r="H9" t="inlineStr">
        <is>
          <t>Y</t>
        </is>
      </c>
      <c r="I9" t="inlineStr">
        <is>
          <t>제품규격표.xlsx</t>
        </is>
      </c>
      <c r="M9" t="inlineStr">
        <is>
          <t>BOX_CAP_BX010_300_BX008_200</t>
        </is>
      </c>
    </row>
    <row r="10">
      <c r="A10" t="inlineStr">
        <is>
          <t>A200210</t>
        </is>
      </c>
      <c r="B10" t="inlineStr">
        <is>
          <t>드메이CE3</t>
        </is>
      </c>
      <c r="C10" t="n">
        <v>19.9</v>
      </c>
      <c r="D10" t="n">
        <v>6.7</v>
      </c>
      <c r="E10" t="n">
        <v>2.6</v>
      </c>
      <c r="F10" t="n">
        <v>0.044</v>
      </c>
      <c r="H10" t="inlineStr">
        <is>
          <t>Y</t>
        </is>
      </c>
      <c r="I10" t="inlineStr">
        <is>
          <t>제품규격표.xlsx</t>
        </is>
      </c>
    </row>
    <row r="11">
      <c r="A11" t="inlineStr">
        <is>
          <t>A200220</t>
        </is>
      </c>
      <c r="B11" t="inlineStr">
        <is>
          <t>드메이CE2</t>
        </is>
      </c>
      <c r="C11" t="n">
        <v>19.9</v>
      </c>
      <c r="D11" t="n">
        <v>6.7</v>
      </c>
      <c r="E11" t="n">
        <v>2.6</v>
      </c>
      <c r="F11" t="n">
        <v>0.044</v>
      </c>
      <c r="H11" t="inlineStr">
        <is>
          <t>Y</t>
        </is>
      </c>
      <c r="I11" t="inlineStr">
        <is>
          <t>제품규격표.xlsx</t>
        </is>
      </c>
    </row>
    <row r="12">
      <c r="A12" t="inlineStr">
        <is>
          <t>A200230</t>
        </is>
      </c>
      <c r="B12" t="inlineStr">
        <is>
          <t>드메이CE1</t>
        </is>
      </c>
      <c r="C12" t="n">
        <v>19.9</v>
      </c>
      <c r="D12" t="n">
        <v>6.7</v>
      </c>
      <c r="E12" t="n">
        <v>2.6</v>
      </c>
      <c r="F12" t="n">
        <v>0.044</v>
      </c>
      <c r="H12" t="inlineStr">
        <is>
          <t>Y</t>
        </is>
      </c>
      <c r="I12" t="inlineStr">
        <is>
          <t>제품규격표.xlsx</t>
        </is>
      </c>
    </row>
    <row r="13">
      <c r="A13" t="inlineStr">
        <is>
          <t>A200433</t>
        </is>
      </c>
      <c r="B13" t="inlineStr">
        <is>
          <t>리체스 울트라 리도(2sy C)</t>
        </is>
      </c>
      <c r="C13" t="n">
        <v>19.2</v>
      </c>
      <c r="D13" t="n">
        <v>7.3</v>
      </c>
      <c r="E13" t="n">
        <v>5</v>
      </c>
      <c r="F13" t="n">
        <v>0.08599999999999999</v>
      </c>
      <c r="H13" t="inlineStr">
        <is>
          <t>Y</t>
        </is>
      </c>
      <c r="I13" t="inlineStr">
        <is>
          <t>제품규격표.xlsx</t>
        </is>
      </c>
    </row>
    <row r="14">
      <c r="A14" t="inlineStr">
        <is>
          <t>A200435</t>
        </is>
      </c>
      <c r="B14" t="inlineStr">
        <is>
          <t>리체스 임플란트 리도(2sy C)</t>
        </is>
      </c>
      <c r="C14" t="n">
        <v>19.2</v>
      </c>
      <c r="D14" t="n">
        <v>7.3</v>
      </c>
      <c r="E14" t="n">
        <v>5</v>
      </c>
      <c r="F14" t="n">
        <v>0.08599999999999999</v>
      </c>
      <c r="H14" t="inlineStr">
        <is>
          <t>Y</t>
        </is>
      </c>
      <c r="I14" t="inlineStr">
        <is>
          <t>제품규격표.xlsx</t>
        </is>
      </c>
    </row>
    <row r="15">
      <c r="A15" t="inlineStr">
        <is>
          <t>A200436</t>
        </is>
      </c>
      <c r="B15" t="inlineStr">
        <is>
          <t>리체스 소프트 리도(2sy C)</t>
        </is>
      </c>
      <c r="C15" t="n">
        <v>19.2</v>
      </c>
      <c r="D15" t="n">
        <v>7.3</v>
      </c>
      <c r="E15" t="n">
        <v>5</v>
      </c>
      <c r="F15" t="n">
        <v>0.08599999999999999</v>
      </c>
      <c r="H15" t="inlineStr">
        <is>
          <t>Y</t>
        </is>
      </c>
      <c r="I15" t="inlineStr">
        <is>
          <t>제품규격표.xlsx</t>
        </is>
      </c>
    </row>
    <row r="16">
      <c r="A16" t="inlineStr">
        <is>
          <t>A200437</t>
        </is>
      </c>
      <c r="B16" t="inlineStr">
        <is>
          <t>리체스 딥 리도(2sy C)</t>
        </is>
      </c>
      <c r="C16" t="n">
        <v>19.2</v>
      </c>
      <c r="D16" t="n">
        <v>7.3</v>
      </c>
      <c r="E16" t="n">
        <v>5</v>
      </c>
      <c r="F16" t="n">
        <v>0.08599999999999999</v>
      </c>
      <c r="H16" t="inlineStr">
        <is>
          <t>Y</t>
        </is>
      </c>
      <c r="I16" t="inlineStr">
        <is>
          <t>제품규격표.xlsx</t>
        </is>
      </c>
    </row>
    <row r="17">
      <c r="A17" t="inlineStr">
        <is>
          <t>A200438</t>
        </is>
      </c>
      <c r="B17" t="inlineStr">
        <is>
          <t>리체스 울트라 리도(C)</t>
        </is>
      </c>
      <c r="C17" t="n">
        <v>19.3</v>
      </c>
      <c r="D17" t="n">
        <v>7.3</v>
      </c>
      <c r="E17" t="n">
        <v>2.8</v>
      </c>
      <c r="F17" t="n">
        <v>0.051</v>
      </c>
      <c r="H17" t="inlineStr">
        <is>
          <t>Y</t>
        </is>
      </c>
      <c r="I17" t="inlineStr">
        <is>
          <t>제품규격표.xlsx</t>
        </is>
      </c>
      <c r="M17" t="inlineStr">
        <is>
          <t>BOX_CAP_BX010_300_BX008_200</t>
        </is>
      </c>
    </row>
    <row r="18">
      <c r="A18" t="inlineStr">
        <is>
          <t>A200470</t>
        </is>
      </c>
      <c r="B18" t="inlineStr">
        <is>
          <t>리체스 PN 리도</t>
        </is>
      </c>
      <c r="C18" t="n">
        <v>19.1</v>
      </c>
      <c r="D18" t="n">
        <v>7</v>
      </c>
      <c r="E18" t="n">
        <v>6</v>
      </c>
      <c r="F18" t="n">
        <v>0.08500000000000001</v>
      </c>
      <c r="H18" t="inlineStr">
        <is>
          <t>Y</t>
        </is>
      </c>
      <c r="I18" t="inlineStr">
        <is>
          <t>제품규격표.xlsx</t>
        </is>
      </c>
    </row>
    <row r="19">
      <c r="A19" t="inlineStr">
        <is>
          <t>A200475</t>
        </is>
      </c>
      <c r="B19" t="inlineStr">
        <is>
          <t>리체스 PN플러스 리도</t>
        </is>
      </c>
      <c r="C19" t="n">
        <v>19.1</v>
      </c>
      <c r="D19" t="n">
        <v>7</v>
      </c>
      <c r="E19" t="n">
        <v>6</v>
      </c>
      <c r="F19" t="n">
        <v>0.08500000000000001</v>
      </c>
      <c r="H19" t="inlineStr">
        <is>
          <t>Y</t>
        </is>
      </c>
      <c r="I19" t="inlineStr">
        <is>
          <t>제품규격표.xlsx</t>
        </is>
      </c>
    </row>
    <row r="20">
      <c r="A20" t="inlineStr">
        <is>
          <t>A200610</t>
        </is>
      </c>
      <c r="B20" t="inlineStr">
        <is>
          <t>원필 서브큐 리도</t>
        </is>
      </c>
      <c r="C20" t="n">
        <v>19</v>
      </c>
      <c r="D20" t="n">
        <v>7.1</v>
      </c>
      <c r="E20" t="n">
        <v>2.2</v>
      </c>
      <c r="F20" t="n">
        <v>0.049</v>
      </c>
      <c r="H20" t="inlineStr">
        <is>
          <t>Y</t>
        </is>
      </c>
      <c r="I20" t="inlineStr">
        <is>
          <t>제품규격표.xlsx</t>
        </is>
      </c>
    </row>
    <row r="21" ht="30" customHeight="1" s="42">
      <c r="A21" t="inlineStr">
        <is>
          <t>A200620</t>
        </is>
      </c>
      <c r="B21" t="inlineStr">
        <is>
          <t>원필 딥 리도</t>
        </is>
      </c>
      <c r="C21" t="n">
        <v>19</v>
      </c>
      <c r="D21" t="n">
        <v>7.1</v>
      </c>
      <c r="E21" t="n">
        <v>2.2</v>
      </c>
      <c r="F21" t="n">
        <v>0.049</v>
      </c>
      <c r="H21" t="inlineStr">
        <is>
          <t>Y</t>
        </is>
      </c>
      <c r="I21" t="inlineStr">
        <is>
          <t>제품규격표.xlsx</t>
        </is>
      </c>
    </row>
    <row r="22" ht="30" customHeight="1" s="42">
      <c r="A22" t="inlineStr">
        <is>
          <t>A200630</t>
        </is>
      </c>
      <c r="B22" t="inlineStr">
        <is>
          <t>원필 클래식 리도</t>
        </is>
      </c>
      <c r="C22" t="n">
        <v>19</v>
      </c>
      <c r="D22" t="n">
        <v>7.1</v>
      </c>
      <c r="E22" t="n">
        <v>2.2</v>
      </c>
      <c r="F22" t="n">
        <v>0.049</v>
      </c>
      <c r="H22" t="inlineStr">
        <is>
          <t>Y</t>
        </is>
      </c>
      <c r="I22" t="inlineStr">
        <is>
          <t>제품규격표.xlsx</t>
        </is>
      </c>
    </row>
    <row r="23" ht="30" customHeight="1" s="42">
      <c r="A23" t="inlineStr">
        <is>
          <t>A200632</t>
        </is>
      </c>
      <c r="B23" t="inlineStr">
        <is>
          <t>원필 비타글로우 리도</t>
        </is>
      </c>
      <c r="C23" t="n">
        <v>19.2</v>
      </c>
      <c r="D23" t="n">
        <v>7.3</v>
      </c>
      <c r="E23" t="n">
        <v>5</v>
      </c>
      <c r="F23" t="n">
        <v>0.08699999999999999</v>
      </c>
      <c r="H23" t="inlineStr">
        <is>
          <t>Y</t>
        </is>
      </c>
      <c r="I23" t="inlineStr">
        <is>
          <t>제품규격표.xlsx</t>
        </is>
      </c>
    </row>
    <row r="24" ht="30" customHeight="1" s="42">
      <c r="A24" t="inlineStr">
        <is>
          <t>A200640</t>
        </is>
      </c>
      <c r="B24" t="inlineStr">
        <is>
          <t>원필 서브큐 리도 CE</t>
        </is>
      </c>
      <c r="C24" t="n">
        <v>19.8</v>
      </c>
      <c r="D24" t="n">
        <v>6.8</v>
      </c>
      <c r="E24" t="n">
        <v>2.6</v>
      </c>
      <c r="F24" t="n">
        <v>0.041</v>
      </c>
      <c r="H24" t="inlineStr">
        <is>
          <t>Y</t>
        </is>
      </c>
      <c r="I24" t="inlineStr">
        <is>
          <t>제품규격표.xlsx</t>
        </is>
      </c>
    </row>
    <row r="25" ht="30" customHeight="1" s="42">
      <c r="A25" t="inlineStr">
        <is>
          <t>A200650</t>
        </is>
      </c>
      <c r="B25" t="inlineStr">
        <is>
          <t>원필 딥 리도 CE</t>
        </is>
      </c>
      <c r="C25" t="n">
        <v>19.8</v>
      </c>
      <c r="D25" t="n">
        <v>6.8</v>
      </c>
      <c r="E25" t="n">
        <v>2.6</v>
      </c>
      <c r="F25" t="n">
        <v>0.045</v>
      </c>
      <c r="H25" t="inlineStr">
        <is>
          <t>Y</t>
        </is>
      </c>
      <c r="I25" t="inlineStr">
        <is>
          <t>제품규격표.xlsx</t>
        </is>
      </c>
    </row>
    <row r="26" ht="30" customHeight="1" s="42">
      <c r="A26" t="inlineStr">
        <is>
          <t>A200660</t>
        </is>
      </c>
      <c r="B26" t="inlineStr">
        <is>
          <t>원필 클래식 리도 CE</t>
        </is>
      </c>
      <c r="C26" t="n">
        <v>19.8</v>
      </c>
      <c r="D26" t="n">
        <v>6.8</v>
      </c>
      <c r="E26" t="n">
        <v>2.6</v>
      </c>
      <c r="F26" t="inlineStr">
        <is>
          <t>0..045</t>
        </is>
      </c>
      <c r="H26" t="inlineStr">
        <is>
          <t>Y</t>
        </is>
      </c>
      <c r="I26" t="inlineStr">
        <is>
          <t>제품규격표.xlsx</t>
        </is>
      </c>
    </row>
    <row r="27">
      <c r="A27" t="inlineStr">
        <is>
          <t>A200670</t>
        </is>
      </c>
      <c r="B27" t="inlineStr">
        <is>
          <t>테오필 서브큐 리도</t>
        </is>
      </c>
      <c r="C27" t="n">
        <v>19.8</v>
      </c>
      <c r="D27" t="n">
        <v>6.7</v>
      </c>
      <c r="E27" t="n">
        <v>2.6</v>
      </c>
      <c r="F27" t="n">
        <v>0.042</v>
      </c>
      <c r="H27" t="inlineStr">
        <is>
          <t>Y</t>
        </is>
      </c>
      <c r="I27" t="inlineStr">
        <is>
          <t>제품규격표.xlsx</t>
        </is>
      </c>
    </row>
    <row r="28">
      <c r="A28" t="inlineStr">
        <is>
          <t>A200680</t>
        </is>
      </c>
      <c r="B28" t="inlineStr">
        <is>
          <t>테오필 딥 리도</t>
        </is>
      </c>
      <c r="C28" t="n">
        <v>19.8</v>
      </c>
      <c r="D28" t="n">
        <v>6.7</v>
      </c>
      <c r="E28" t="n">
        <v>2.6</v>
      </c>
      <c r="F28" t="n">
        <v>0.042</v>
      </c>
      <c r="H28" t="inlineStr">
        <is>
          <t>Y</t>
        </is>
      </c>
      <c r="I28" t="inlineStr">
        <is>
          <t>제품규격표.xlsx</t>
        </is>
      </c>
    </row>
    <row r="29">
      <c r="A29" t="inlineStr">
        <is>
          <t>A200690</t>
        </is>
      </c>
      <c r="B29" t="inlineStr">
        <is>
          <t>테오필 클래식 리도</t>
        </is>
      </c>
      <c r="C29" t="n">
        <v>19.8</v>
      </c>
      <c r="D29" t="n">
        <v>6.7</v>
      </c>
      <c r="E29" t="n">
        <v>2.6</v>
      </c>
      <c r="F29" t="n">
        <v>0.042</v>
      </c>
      <c r="H29" t="inlineStr">
        <is>
          <t>Y</t>
        </is>
      </c>
      <c r="I29" t="inlineStr">
        <is>
          <t>제품규격표.xlsx</t>
        </is>
      </c>
    </row>
    <row r="30">
      <c r="A30" t="inlineStr">
        <is>
          <t>A300340</t>
        </is>
      </c>
      <c r="B30" t="inlineStr">
        <is>
          <t>드메이 바디 60</t>
        </is>
      </c>
      <c r="C30" t="n">
        <v>9</v>
      </c>
      <c r="D30" t="n">
        <v>4.8</v>
      </c>
      <c r="E30" t="n">
        <v>4.8</v>
      </c>
      <c r="F30" t="n">
        <v>0.13</v>
      </c>
      <c r="H30" t="inlineStr">
        <is>
          <t>Y</t>
        </is>
      </c>
      <c r="I30" t="inlineStr">
        <is>
          <t>제품규격표.xlsx</t>
        </is>
      </c>
    </row>
    <row r="31">
      <c r="A31" t="inlineStr">
        <is>
          <t>A300345</t>
        </is>
      </c>
      <c r="B31" t="inlineStr">
        <is>
          <t>드메이 바디 100</t>
        </is>
      </c>
      <c r="C31" t="n">
        <v>11.4</v>
      </c>
      <c r="D31" t="n">
        <v>5.2</v>
      </c>
      <c r="E31" t="n">
        <v>5.2</v>
      </c>
      <c r="F31" t="n">
        <v>0.197</v>
      </c>
      <c r="H31" t="inlineStr">
        <is>
          <t>Y</t>
        </is>
      </c>
      <c r="I31" t="inlineStr">
        <is>
          <t>제품규격표.xlsx</t>
        </is>
      </c>
    </row>
    <row r="32">
      <c r="A32" t="inlineStr">
        <is>
          <t>A300420</t>
        </is>
      </c>
      <c r="B32" t="inlineStr">
        <is>
          <t>드메이 PCL</t>
        </is>
      </c>
      <c r="C32" t="n">
        <v>6.5</v>
      </c>
      <c r="D32" t="n">
        <v>3.6</v>
      </c>
      <c r="E32" t="n">
        <v>3.6</v>
      </c>
      <c r="F32" t="n">
        <v>0.021</v>
      </c>
      <c r="H32" t="inlineStr">
        <is>
          <t>Y</t>
        </is>
      </c>
      <c r="I32" t="inlineStr">
        <is>
          <t>제품규격표.xlsx</t>
        </is>
      </c>
    </row>
    <row r="33">
      <c r="A33" t="inlineStr">
        <is>
          <t>A300510</t>
        </is>
      </c>
      <c r="B33" t="inlineStr">
        <is>
          <t>드메이 샤인부스터</t>
        </is>
      </c>
      <c r="C33" t="n">
        <v>18.5</v>
      </c>
      <c r="D33" t="n">
        <v>9.199999999999999</v>
      </c>
      <c r="E33" t="n">
        <v>3.4</v>
      </c>
      <c r="F33" t="n">
        <v>0.143</v>
      </c>
      <c r="H33" t="inlineStr">
        <is>
          <t>Y</t>
        </is>
      </c>
      <c r="I33" t="inlineStr">
        <is>
          <t>제품규격표.xlsx</t>
        </is>
      </c>
    </row>
    <row r="34">
      <c r="A34" t="inlineStr">
        <is>
          <t>A300710</t>
        </is>
      </c>
      <c r="B34" t="inlineStr">
        <is>
          <t>리체스 B</t>
        </is>
      </c>
      <c r="C34" t="n">
        <v>22.5</v>
      </c>
      <c r="D34" t="n">
        <v>7.6</v>
      </c>
      <c r="E34" t="n">
        <v>3.1</v>
      </c>
      <c r="F34" t="n">
        <v>0.074</v>
      </c>
      <c r="H34" t="inlineStr">
        <is>
          <t>Y</t>
        </is>
      </c>
      <c r="I34" t="inlineStr">
        <is>
          <t>제품규격표.xlsx</t>
        </is>
      </c>
    </row>
    <row r="35">
      <c r="A35" t="inlineStr">
        <is>
          <t>A300715</t>
        </is>
      </c>
      <c r="B35" t="inlineStr">
        <is>
          <t>리체스 B (R)</t>
        </is>
      </c>
      <c r="C35" t="n">
        <v>23.2</v>
      </c>
      <c r="D35" t="n">
        <v>7</v>
      </c>
      <c r="E35" t="n">
        <v>3.3</v>
      </c>
      <c r="F35" t="n">
        <v>0.07000000000000001</v>
      </c>
      <c r="H35" t="inlineStr">
        <is>
          <t>Y</t>
        </is>
      </c>
      <c r="I35" t="inlineStr">
        <is>
          <t>제품규격표.xlsx</t>
        </is>
      </c>
    </row>
    <row r="36">
      <c r="A36" t="inlineStr">
        <is>
          <t>A300800</t>
        </is>
      </c>
      <c r="B36" t="inlineStr">
        <is>
          <t>리체스 PCL</t>
        </is>
      </c>
      <c r="C36" t="n">
        <v>6.4</v>
      </c>
      <c r="D36" t="n">
        <v>3.6</v>
      </c>
      <c r="E36" t="n">
        <v>3.6</v>
      </c>
      <c r="F36" t="n">
        <v>0.021</v>
      </c>
      <c r="H36" t="inlineStr">
        <is>
          <t>Y</t>
        </is>
      </c>
      <c r="I36" t="inlineStr">
        <is>
          <t>제품규격표.xlsx</t>
        </is>
      </c>
    </row>
    <row r="37">
      <c r="A37" t="inlineStr">
        <is>
          <t>A300820</t>
        </is>
      </c>
      <c r="B37" t="inlineStr">
        <is>
          <t>리체스 PLA (COS)</t>
        </is>
      </c>
      <c r="C37" t="n">
        <v>6.4</v>
      </c>
      <c r="D37" t="n">
        <v>3.6</v>
      </c>
      <c r="E37" t="n">
        <v>3.6</v>
      </c>
      <c r="F37" t="n">
        <v>0.024</v>
      </c>
      <c r="H37" t="inlineStr">
        <is>
          <t>Y</t>
        </is>
      </c>
      <c r="I37" t="inlineStr">
        <is>
          <t>제품규격표.xlsx</t>
        </is>
      </c>
    </row>
    <row r="38">
      <c r="A38" t="inlineStr">
        <is>
          <t>A301020</t>
        </is>
      </c>
      <c r="B38" t="inlineStr">
        <is>
          <t>리체스 콜라필로</t>
        </is>
      </c>
      <c r="C38" t="n">
        <v>19.9</v>
      </c>
      <c r="D38" t="n">
        <v>6.8</v>
      </c>
      <c r="E38" t="n">
        <v>2.7</v>
      </c>
      <c r="F38" t="n">
        <v>0.042</v>
      </c>
      <c r="H38" t="inlineStr">
        <is>
          <t>Y</t>
        </is>
      </c>
      <c r="I38" t="inlineStr">
        <is>
          <t>제품규격표.xlsx</t>
        </is>
      </c>
    </row>
    <row r="39">
      <c r="A39" t="inlineStr">
        <is>
          <t>A301035</t>
        </is>
      </c>
      <c r="B39" t="inlineStr">
        <is>
          <t>리체스 트리니티90</t>
        </is>
      </c>
      <c r="C39" t="n">
        <v>21.4</v>
      </c>
      <c r="D39" t="n">
        <v>13.7</v>
      </c>
      <c r="E39" t="n">
        <v>3.8</v>
      </c>
      <c r="F39" t="n">
        <v>239</v>
      </c>
      <c r="H39" t="inlineStr">
        <is>
          <t>Y</t>
        </is>
      </c>
      <c r="I39" t="inlineStr">
        <is>
          <t>제품규격표.xlsx</t>
        </is>
      </c>
    </row>
    <row r="40">
      <c r="A40" t="inlineStr">
        <is>
          <t>A301036</t>
        </is>
      </c>
      <c r="B40" t="inlineStr">
        <is>
          <t>리체스 트리니티90 with RH</t>
        </is>
      </c>
      <c r="C40" t="n">
        <v>21.4</v>
      </c>
      <c r="D40" t="n">
        <v>13.7</v>
      </c>
      <c r="E40" t="n">
        <v>3.8</v>
      </c>
      <c r="F40" t="n">
        <v>239</v>
      </c>
      <c r="H40" t="inlineStr">
        <is>
          <t>Y</t>
        </is>
      </c>
      <c r="I40" t="inlineStr">
        <is>
          <t>제품규격표.xlsx</t>
        </is>
      </c>
    </row>
    <row r="41">
      <c r="A41" t="inlineStr">
        <is>
          <t>A301114</t>
        </is>
      </c>
      <c r="B41" t="inlineStr">
        <is>
          <t>엑소원(I EA)</t>
        </is>
      </c>
      <c r="C41" t="n">
        <v>7.8</v>
      </c>
      <c r="D41" t="n">
        <v>5.3</v>
      </c>
      <c r="E41" t="n">
        <v>4.3</v>
      </c>
      <c r="F41" t="n">
        <v>0.043</v>
      </c>
      <c r="H41" t="inlineStr">
        <is>
          <t>Y</t>
        </is>
      </c>
      <c r="I41" t="inlineStr">
        <is>
          <t>제품규격표.xlsx</t>
        </is>
      </c>
    </row>
    <row r="42">
      <c r="A42" t="inlineStr">
        <is>
          <t>A301121</t>
        </is>
      </c>
      <c r="B42" t="inlineStr">
        <is>
          <t>엑소원V(EA)</t>
        </is>
      </c>
      <c r="C42" t="n">
        <v>7.8</v>
      </c>
      <c r="D42" t="n">
        <v>5.3</v>
      </c>
      <c r="E42" t="n">
        <v>4.3</v>
      </c>
      <c r="F42" t="n">
        <v>0.043</v>
      </c>
      <c r="H42" t="inlineStr">
        <is>
          <t>Y</t>
        </is>
      </c>
      <c r="I42" t="inlineStr">
        <is>
          <t>제품규격표.xlsx</t>
        </is>
      </c>
    </row>
    <row r="43">
      <c r="A43" t="inlineStr">
        <is>
          <t>A301210</t>
        </is>
      </c>
      <c r="B43" t="inlineStr">
        <is>
          <t>제이드 카인크림</t>
        </is>
      </c>
      <c r="C43" t="n">
        <v>10</v>
      </c>
      <c r="D43" t="n">
        <v>10</v>
      </c>
      <c r="E43" t="n">
        <v>11.2</v>
      </c>
      <c r="F43" t="n">
        <v>0.631</v>
      </c>
      <c r="H43" t="inlineStr">
        <is>
          <t>Y</t>
        </is>
      </c>
      <c r="I43" t="inlineStr">
        <is>
          <t>제품규격표.xlsx</t>
        </is>
      </c>
    </row>
    <row r="44">
      <c r="A44" t="inlineStr">
        <is>
          <t>A301310</t>
        </is>
      </c>
      <c r="B44" t="inlineStr">
        <is>
          <t>제이드리포 바디</t>
        </is>
      </c>
      <c r="C44" t="n">
        <v>8.9</v>
      </c>
      <c r="D44" t="n">
        <v>5.3</v>
      </c>
      <c r="E44" t="n">
        <v>3.7</v>
      </c>
      <c r="F44" t="n">
        <v>0.061</v>
      </c>
      <c r="H44" t="inlineStr">
        <is>
          <t>Y</t>
        </is>
      </c>
      <c r="I44" t="inlineStr">
        <is>
          <t>제품규격표.xlsx</t>
        </is>
      </c>
    </row>
    <row r="45">
      <c r="A45" t="inlineStr">
        <is>
          <t>A301320</t>
        </is>
      </c>
      <c r="B45" t="inlineStr">
        <is>
          <t>제이드리포 페이스</t>
        </is>
      </c>
      <c r="C45" t="n">
        <v>8</v>
      </c>
      <c r="D45" t="n">
        <v>4.5</v>
      </c>
      <c r="E45" t="n">
        <v>2.8</v>
      </c>
      <c r="F45" t="n">
        <v>0.035</v>
      </c>
      <c r="H45" t="inlineStr">
        <is>
          <t>Y</t>
        </is>
      </c>
      <c r="I45" t="inlineStr">
        <is>
          <t>제품규격표.xlsx</t>
        </is>
      </c>
    </row>
    <row r="46">
      <c r="A46" t="inlineStr">
        <is>
          <t>B100110</t>
        </is>
      </c>
      <c r="B46" t="inlineStr">
        <is>
          <t>나보타100u</t>
        </is>
      </c>
      <c r="C46" t="n">
        <v>8.1</v>
      </c>
      <c r="D46" t="n">
        <v>4.9</v>
      </c>
      <c r="E46" t="n">
        <v>4.1</v>
      </c>
      <c r="F46" t="n">
        <v>0.03</v>
      </c>
      <c r="H46" t="inlineStr">
        <is>
          <t>Y</t>
        </is>
      </c>
      <c r="I46" t="inlineStr">
        <is>
          <t>제품규격표.xlsx</t>
        </is>
      </c>
    </row>
    <row r="47">
      <c r="A47" t="inlineStr">
        <is>
          <t>B100125</t>
        </is>
      </c>
      <c r="B47" t="inlineStr">
        <is>
          <t>나보타150u</t>
        </is>
      </c>
      <c r="C47" t="n">
        <v>8.1</v>
      </c>
      <c r="D47" t="n">
        <v>4.9</v>
      </c>
      <c r="E47" t="n">
        <v>4.1</v>
      </c>
      <c r="F47" t="n">
        <v>0.03</v>
      </c>
      <c r="H47" t="inlineStr">
        <is>
          <t>Y</t>
        </is>
      </c>
      <c r="I47" t="inlineStr">
        <is>
          <t>제품규격표.xlsx</t>
        </is>
      </c>
    </row>
    <row r="48">
      <c r="A48" t="inlineStr">
        <is>
          <t>B100130</t>
        </is>
      </c>
      <c r="B48" t="inlineStr">
        <is>
          <t>나보타200u</t>
        </is>
      </c>
      <c r="C48" t="n">
        <v>8.1</v>
      </c>
      <c r="D48" t="n">
        <v>4.9</v>
      </c>
      <c r="E48" t="n">
        <v>4.1</v>
      </c>
      <c r="F48" t="n">
        <v>0.03</v>
      </c>
      <c r="H48" t="inlineStr">
        <is>
          <t>Y</t>
        </is>
      </c>
      <c r="I48" t="inlineStr">
        <is>
          <t>제품규격표.xlsx</t>
        </is>
      </c>
    </row>
    <row r="49">
      <c r="A49" t="inlineStr">
        <is>
          <t>B100310</t>
        </is>
      </c>
      <c r="B49" t="inlineStr">
        <is>
          <t>디스포트</t>
        </is>
      </c>
      <c r="C49" t="n">
        <v>7.5</v>
      </c>
      <c r="D49" t="n">
        <v>4.7</v>
      </c>
      <c r="E49" t="n">
        <v>2.5</v>
      </c>
      <c r="F49" t="n">
        <v>0.017</v>
      </c>
      <c r="H49" t="inlineStr">
        <is>
          <t>Y</t>
        </is>
      </c>
      <c r="I49" t="inlineStr">
        <is>
          <t>제품규격표.xlsx</t>
        </is>
      </c>
    </row>
    <row r="50">
      <c r="A50" t="inlineStr">
        <is>
          <t>B100410</t>
        </is>
      </c>
      <c r="B50" t="inlineStr">
        <is>
          <t>리엔톡스100u</t>
        </is>
      </c>
      <c r="C50" t="n">
        <v>6.8</v>
      </c>
      <c r="D50" t="n">
        <v>4.6</v>
      </c>
      <c r="E50" t="n">
        <v>3.6</v>
      </c>
      <c r="F50" t="n">
        <v>0.025</v>
      </c>
      <c r="H50" t="inlineStr">
        <is>
          <t>Y</t>
        </is>
      </c>
      <c r="I50" t="inlineStr">
        <is>
          <t>제품규격표.xlsx</t>
        </is>
      </c>
    </row>
    <row r="51">
      <c r="A51" t="inlineStr">
        <is>
          <t>B100420</t>
        </is>
      </c>
      <c r="B51" t="inlineStr">
        <is>
          <t>리엔톡스200u</t>
        </is>
      </c>
      <c r="C51" t="n">
        <v>6.8</v>
      </c>
      <c r="D51" t="n">
        <v>4.6</v>
      </c>
      <c r="E51" t="n">
        <v>3.6</v>
      </c>
      <c r="F51" t="n">
        <v>0.025</v>
      </c>
      <c r="H51" t="inlineStr">
        <is>
          <t>Y</t>
        </is>
      </c>
      <c r="I51" t="inlineStr">
        <is>
          <t>제품규격표.xlsx</t>
        </is>
      </c>
    </row>
    <row r="52">
      <c r="A52" t="inlineStr">
        <is>
          <t>B100510</t>
        </is>
      </c>
      <c r="B52" t="inlineStr">
        <is>
          <t>리즈톡스100u</t>
        </is>
      </c>
      <c r="C52" t="n">
        <v>7</v>
      </c>
      <c r="D52" t="n">
        <v>4.6</v>
      </c>
      <c r="E52" t="n">
        <v>3.3</v>
      </c>
      <c r="F52" t="n">
        <v>0.023</v>
      </c>
      <c r="H52" t="inlineStr">
        <is>
          <t>Y</t>
        </is>
      </c>
      <c r="I52" t="inlineStr">
        <is>
          <t>제품규격표.xlsx</t>
        </is>
      </c>
    </row>
    <row r="53">
      <c r="A53" t="inlineStr">
        <is>
          <t>B100520</t>
        </is>
      </c>
      <c r="B53" t="inlineStr">
        <is>
          <t>리즈톡스200u</t>
        </is>
      </c>
      <c r="C53" t="n">
        <v>7</v>
      </c>
      <c r="D53" t="n">
        <v>4.6</v>
      </c>
      <c r="E53" t="n">
        <v>3.3</v>
      </c>
      <c r="F53" t="n">
        <v>0.023</v>
      </c>
      <c r="H53" t="inlineStr">
        <is>
          <t>Y</t>
        </is>
      </c>
      <c r="I53" t="inlineStr">
        <is>
          <t>제품규격표.xlsx</t>
        </is>
      </c>
    </row>
    <row r="54">
      <c r="A54" t="inlineStr">
        <is>
          <t>B100630</t>
        </is>
      </c>
      <c r="B54" t="inlineStr">
        <is>
          <t>메디톡신200u</t>
        </is>
      </c>
      <c r="C54" t="n">
        <v>6.9</v>
      </c>
      <c r="D54" t="n">
        <v>4.6</v>
      </c>
      <c r="E54" t="n">
        <v>3.1</v>
      </c>
      <c r="F54" t="n">
        <v>0.025</v>
      </c>
      <c r="H54" t="inlineStr">
        <is>
          <t>Y</t>
        </is>
      </c>
      <c r="I54" t="inlineStr">
        <is>
          <t>제품규격표.xlsx</t>
        </is>
      </c>
    </row>
    <row r="55">
      <c r="A55" t="inlineStr">
        <is>
          <t>B100720</t>
        </is>
      </c>
      <c r="B55" t="inlineStr">
        <is>
          <t>보툴렉스100u</t>
        </is>
      </c>
      <c r="C55" t="n">
        <v>6.9</v>
      </c>
      <c r="D55" t="n">
        <v>4.5</v>
      </c>
      <c r="E55" t="n">
        <v>3.6</v>
      </c>
      <c r="F55" t="n">
        <v>0.027</v>
      </c>
      <c r="H55" t="inlineStr">
        <is>
          <t>Y</t>
        </is>
      </c>
      <c r="I55" t="inlineStr">
        <is>
          <t>제품규격표.xlsx</t>
        </is>
      </c>
    </row>
    <row r="56">
      <c r="A56" t="inlineStr">
        <is>
          <t>B100730</t>
        </is>
      </c>
      <c r="B56" t="inlineStr">
        <is>
          <t>보툴렉스200u</t>
        </is>
      </c>
      <c r="C56" t="n">
        <v>6.9</v>
      </c>
      <c r="D56" t="n">
        <v>4.5</v>
      </c>
      <c r="E56" t="n">
        <v>3.6</v>
      </c>
      <c r="F56" t="n">
        <v>0.027</v>
      </c>
      <c r="H56" t="inlineStr">
        <is>
          <t>Y</t>
        </is>
      </c>
      <c r="I56" t="inlineStr">
        <is>
          <t>제품규격표.xlsx</t>
        </is>
      </c>
    </row>
    <row r="57">
      <c r="A57" t="inlineStr">
        <is>
          <t>B100740</t>
        </is>
      </c>
      <c r="B57" t="inlineStr">
        <is>
          <t>보툴렉스300u</t>
        </is>
      </c>
      <c r="C57" t="n">
        <v>6.9</v>
      </c>
      <c r="D57" t="n">
        <v>4.5</v>
      </c>
      <c r="E57" t="n">
        <v>3.6</v>
      </c>
      <c r="F57" t="n">
        <v>0.027</v>
      </c>
      <c r="H57" t="inlineStr">
        <is>
          <t>Y</t>
        </is>
      </c>
      <c r="I57" t="inlineStr">
        <is>
          <t>제품규격표.xlsx</t>
        </is>
      </c>
    </row>
    <row r="58">
      <c r="A58" t="inlineStr">
        <is>
          <t>B100830</t>
        </is>
      </c>
      <c r="B58" t="inlineStr">
        <is>
          <t>셀라톡스</t>
        </is>
      </c>
      <c r="C58" t="n">
        <v>18.5</v>
      </c>
      <c r="D58" t="n">
        <v>8.9</v>
      </c>
      <c r="E58" t="n">
        <v>4.5</v>
      </c>
      <c r="F58" t="n">
        <v>0.16</v>
      </c>
      <c r="H58" t="inlineStr">
        <is>
          <t>Y</t>
        </is>
      </c>
      <c r="I58" t="inlineStr">
        <is>
          <t>제품규격표.xlsx</t>
        </is>
      </c>
    </row>
    <row r="59">
      <c r="A59" t="inlineStr">
        <is>
          <t>B100850</t>
        </is>
      </c>
      <c r="B59" t="inlineStr">
        <is>
          <t>셀라스틴톡스</t>
        </is>
      </c>
      <c r="C59" t="n">
        <v>17</v>
      </c>
      <c r="D59" t="n">
        <v>8.199999999999999</v>
      </c>
      <c r="E59" t="n">
        <v>3.3</v>
      </c>
      <c r="F59" t="n">
        <v>0.168</v>
      </c>
      <c r="H59" t="inlineStr">
        <is>
          <t>Y</t>
        </is>
      </c>
      <c r="I59" t="inlineStr">
        <is>
          <t>제품규격표.xlsx</t>
        </is>
      </c>
    </row>
    <row r="60">
      <c r="A60" t="inlineStr">
        <is>
          <t>B101010</t>
        </is>
      </c>
      <c r="B60" t="inlineStr">
        <is>
          <t>원더톡스100U</t>
        </is>
      </c>
      <c r="C60" t="n">
        <v>7</v>
      </c>
      <c r="D60" t="n">
        <v>4.6</v>
      </c>
      <c r="E60" t="n">
        <v>3.4</v>
      </c>
      <c r="F60" t="n">
        <v>0.023</v>
      </c>
      <c r="H60" t="inlineStr">
        <is>
          <t>Y</t>
        </is>
      </c>
      <c r="I60" t="inlineStr">
        <is>
          <t>제품규격표.xlsx</t>
        </is>
      </c>
    </row>
    <row r="61">
      <c r="A61" t="inlineStr">
        <is>
          <t>B101020</t>
        </is>
      </c>
      <c r="B61" t="inlineStr">
        <is>
          <t>원더톡스200U</t>
        </is>
      </c>
      <c r="C61" t="n">
        <v>7</v>
      </c>
      <c r="D61" t="n">
        <v>4.6</v>
      </c>
      <c r="E61" t="n">
        <v>3.4</v>
      </c>
      <c r="F61" t="n">
        <v>0.023</v>
      </c>
      <c r="H61" t="inlineStr">
        <is>
          <t>Y</t>
        </is>
      </c>
      <c r="I61" t="inlineStr">
        <is>
          <t>제품규격표.xlsx</t>
        </is>
      </c>
    </row>
    <row r="62">
      <c r="A62" t="inlineStr">
        <is>
          <t>B101110</t>
        </is>
      </c>
      <c r="B62" t="inlineStr">
        <is>
          <t>이노톡스50u</t>
        </is>
      </c>
      <c r="C62" t="n">
        <v>6.9</v>
      </c>
      <c r="D62" t="n">
        <v>4.8</v>
      </c>
      <c r="E62" t="n">
        <v>3.1</v>
      </c>
      <c r="F62" t="n">
        <v>0.021</v>
      </c>
      <c r="H62" t="inlineStr">
        <is>
          <t>Y</t>
        </is>
      </c>
      <c r="I62" t="inlineStr">
        <is>
          <t>제품규격표.xlsx</t>
        </is>
      </c>
    </row>
    <row r="63">
      <c r="A63" t="inlineStr">
        <is>
          <t>B101120</t>
        </is>
      </c>
      <c r="B63" t="inlineStr">
        <is>
          <t>이노톡스100u</t>
        </is>
      </c>
      <c r="C63" t="n">
        <v>6.9</v>
      </c>
      <c r="D63" t="n">
        <v>4.8</v>
      </c>
      <c r="E63" t="n">
        <v>3.1</v>
      </c>
      <c r="F63" t="n">
        <v>0.028</v>
      </c>
      <c r="H63" t="inlineStr">
        <is>
          <t>Y</t>
        </is>
      </c>
      <c r="I63" t="inlineStr">
        <is>
          <t>제품규격표.xlsx</t>
        </is>
      </c>
    </row>
    <row r="64">
      <c r="A64" t="inlineStr">
        <is>
          <t>B101310</t>
        </is>
      </c>
      <c r="B64" t="inlineStr">
        <is>
          <t>제오민</t>
        </is>
      </c>
      <c r="C64" t="n">
        <v>8.699999999999999</v>
      </c>
      <c r="D64" t="n">
        <v>6.2</v>
      </c>
      <c r="E64" t="n">
        <v>3.3</v>
      </c>
      <c r="F64" t="n">
        <v>0.028</v>
      </c>
      <c r="H64" t="inlineStr">
        <is>
          <t>Y</t>
        </is>
      </c>
      <c r="I64" t="inlineStr">
        <is>
          <t>제품규격표.xlsx</t>
        </is>
      </c>
    </row>
    <row r="65">
      <c r="A65" t="inlineStr">
        <is>
          <t>B101510</t>
        </is>
      </c>
      <c r="B65" t="inlineStr">
        <is>
          <t>코어톡스100u</t>
        </is>
      </c>
      <c r="C65" t="n">
        <v>6.8</v>
      </c>
      <c r="D65" t="n">
        <v>4.7</v>
      </c>
      <c r="E65" t="n">
        <v>3.1</v>
      </c>
      <c r="F65" t="n">
        <v>0.025</v>
      </c>
      <c r="H65" t="inlineStr">
        <is>
          <t>Y</t>
        </is>
      </c>
      <c r="I65" t="inlineStr">
        <is>
          <t>제품규격표.xlsx</t>
        </is>
      </c>
    </row>
    <row r="66">
      <c r="A66" t="inlineStr">
        <is>
          <t>B101810</t>
        </is>
      </c>
      <c r="B66" t="inlineStr">
        <is>
          <t>휴톡스100u</t>
        </is>
      </c>
      <c r="C66" t="n">
        <v>7</v>
      </c>
      <c r="D66" t="n">
        <v>4.6</v>
      </c>
      <c r="E66" t="n">
        <v>3.4</v>
      </c>
      <c r="F66" t="n">
        <v>0.023</v>
      </c>
      <c r="H66" t="inlineStr">
        <is>
          <t>Y</t>
        </is>
      </c>
      <c r="I66" t="inlineStr">
        <is>
          <t>제품규격표.xlsx</t>
        </is>
      </c>
    </row>
    <row r="67">
      <c r="A67" t="inlineStr">
        <is>
          <t>B200610</t>
        </is>
      </c>
      <c r="B67" t="inlineStr">
        <is>
          <t>더마렉스 임플란트</t>
        </is>
      </c>
      <c r="C67" t="n">
        <v>19.8</v>
      </c>
      <c r="D67" t="n">
        <v>7.1</v>
      </c>
      <c r="E67" t="n">
        <v>5.2</v>
      </c>
      <c r="F67" t="n">
        <v>0.068</v>
      </c>
      <c r="H67" t="inlineStr">
        <is>
          <t>Y</t>
        </is>
      </c>
      <c r="I67" t="inlineStr">
        <is>
          <t>제품규격표.xlsx</t>
        </is>
      </c>
    </row>
    <row r="68">
      <c r="A68" t="inlineStr">
        <is>
          <t>B201010</t>
        </is>
      </c>
      <c r="B68" t="inlineStr">
        <is>
          <t>레나4</t>
        </is>
      </c>
      <c r="C68" t="n">
        <v>17.1</v>
      </c>
      <c r="D68" t="n">
        <v>7.2</v>
      </c>
      <c r="E68" t="n">
        <v>4.4</v>
      </c>
      <c r="F68" t="n">
        <v>0.063</v>
      </c>
      <c r="H68" t="inlineStr">
        <is>
          <t>Y</t>
        </is>
      </c>
      <c r="I68" t="inlineStr">
        <is>
          <t>제품규격표.xlsx</t>
        </is>
      </c>
    </row>
    <row r="69">
      <c r="A69" t="inlineStr">
        <is>
          <t>B201020</t>
        </is>
      </c>
      <c r="B69" t="inlineStr">
        <is>
          <t>레나3</t>
        </is>
      </c>
      <c r="C69" t="n">
        <v>17.1</v>
      </c>
      <c r="D69" t="n">
        <v>7.2</v>
      </c>
      <c r="E69" t="n">
        <v>4.4</v>
      </c>
      <c r="F69" t="n">
        <v>0.063</v>
      </c>
      <c r="H69" t="inlineStr">
        <is>
          <t>Y</t>
        </is>
      </c>
      <c r="I69" t="inlineStr">
        <is>
          <t>제품규격표.xlsx</t>
        </is>
      </c>
    </row>
    <row r="70">
      <c r="A70" t="inlineStr">
        <is>
          <t>B201030</t>
        </is>
      </c>
      <c r="B70" t="inlineStr">
        <is>
          <t>레나2</t>
        </is>
      </c>
      <c r="C70" t="n">
        <v>17.1</v>
      </c>
      <c r="D70" t="n">
        <v>7.2</v>
      </c>
      <c r="E70" t="n">
        <v>4.4</v>
      </c>
      <c r="F70" t="n">
        <v>0.063</v>
      </c>
      <c r="H70" t="inlineStr">
        <is>
          <t>Y</t>
        </is>
      </c>
      <c r="I70" t="inlineStr">
        <is>
          <t>제품규격표.xlsx</t>
        </is>
      </c>
    </row>
    <row r="71">
      <c r="A71" t="inlineStr">
        <is>
          <t>B201040</t>
        </is>
      </c>
      <c r="B71" t="inlineStr">
        <is>
          <t>레나1</t>
        </is>
      </c>
      <c r="C71" t="n">
        <v>17.1</v>
      </c>
      <c r="D71" t="n">
        <v>7.2</v>
      </c>
      <c r="E71" t="n">
        <v>4.4</v>
      </c>
      <c r="F71" t="n">
        <v>0.063</v>
      </c>
      <c r="H71" t="inlineStr">
        <is>
          <t>Y</t>
        </is>
      </c>
      <c r="I71" t="inlineStr">
        <is>
          <t>제품규격표.xlsx</t>
        </is>
      </c>
    </row>
    <row r="72">
      <c r="A72" t="inlineStr">
        <is>
          <t>B201120</t>
        </is>
      </c>
      <c r="B72" t="inlineStr">
        <is>
          <t>레디어스</t>
        </is>
      </c>
      <c r="C72" t="n">
        <v>24.4</v>
      </c>
      <c r="D72" t="n">
        <v>12.7</v>
      </c>
      <c r="E72" t="n">
        <v>3</v>
      </c>
      <c r="F72" t="n">
        <v>0.06</v>
      </c>
      <c r="H72" t="inlineStr">
        <is>
          <t>Y</t>
        </is>
      </c>
      <c r="I72" t="inlineStr">
        <is>
          <t>제품규격표.xlsx</t>
        </is>
      </c>
    </row>
    <row r="73">
      <c r="A73" t="inlineStr">
        <is>
          <t>B201310</t>
        </is>
      </c>
      <c r="B73" t="inlineStr">
        <is>
          <t>레볼락스 서브큐</t>
        </is>
      </c>
      <c r="C73" t="n">
        <v>19.6</v>
      </c>
      <c r="D73" t="n">
        <v>7.3</v>
      </c>
      <c r="E73" t="n">
        <v>2.7</v>
      </c>
      <c r="F73" t="n">
        <v>0.043</v>
      </c>
      <c r="H73" t="inlineStr">
        <is>
          <t>Y</t>
        </is>
      </c>
      <c r="I73" t="inlineStr">
        <is>
          <t>제품규격표.xlsx</t>
        </is>
      </c>
    </row>
    <row r="74">
      <c r="A74" t="inlineStr">
        <is>
          <t>B201320</t>
        </is>
      </c>
      <c r="B74" t="inlineStr">
        <is>
          <t>레볼락스 딥</t>
        </is>
      </c>
      <c r="C74" t="n">
        <v>19.6</v>
      </c>
      <c r="D74" t="n">
        <v>7.3</v>
      </c>
      <c r="E74" t="n">
        <v>2.7</v>
      </c>
      <c r="F74" t="n">
        <v>0.043</v>
      </c>
      <c r="H74" t="inlineStr">
        <is>
          <t>Y</t>
        </is>
      </c>
      <c r="I74" t="inlineStr">
        <is>
          <t>제품규격표.xlsx</t>
        </is>
      </c>
    </row>
    <row r="75">
      <c r="A75" t="inlineStr">
        <is>
          <t>B201330</t>
        </is>
      </c>
      <c r="B75" t="inlineStr">
        <is>
          <t>레볼락스 파인</t>
        </is>
      </c>
      <c r="C75" t="n">
        <v>19.6</v>
      </c>
      <c r="D75" t="n">
        <v>7.3</v>
      </c>
      <c r="E75" t="n">
        <v>2.7</v>
      </c>
      <c r="F75" t="n">
        <v>0.043</v>
      </c>
      <c r="H75" t="inlineStr">
        <is>
          <t>Y</t>
        </is>
      </c>
      <c r="I75" t="inlineStr">
        <is>
          <t>제품규격표.xlsx</t>
        </is>
      </c>
    </row>
    <row r="76">
      <c r="A76" t="inlineStr">
        <is>
          <t>B201410</t>
        </is>
      </c>
      <c r="B76" t="inlineStr">
        <is>
          <t>레스틸렌 디파인 리도</t>
        </is>
      </c>
      <c r="C76" t="n">
        <v>19.3</v>
      </c>
      <c r="D76" t="n">
        <v>7.4</v>
      </c>
      <c r="E76" t="n">
        <v>3.2</v>
      </c>
      <c r="F76" t="n">
        <v>0.055</v>
      </c>
      <c r="H76" t="inlineStr">
        <is>
          <t>Y</t>
        </is>
      </c>
      <c r="I76" t="inlineStr">
        <is>
          <t>제품규격표.xlsx</t>
        </is>
      </c>
    </row>
    <row r="77">
      <c r="A77" t="inlineStr">
        <is>
          <t>B201430</t>
        </is>
      </c>
      <c r="B77" t="inlineStr">
        <is>
          <t>레스틸렌 리파인 리도</t>
        </is>
      </c>
      <c r="C77" t="n">
        <v>19.3</v>
      </c>
      <c r="D77" t="n">
        <v>7.4</v>
      </c>
      <c r="E77" t="n">
        <v>3.2</v>
      </c>
      <c r="F77" t="n">
        <v>0.055</v>
      </c>
      <c r="H77" t="inlineStr">
        <is>
          <t>Y</t>
        </is>
      </c>
      <c r="I77" t="inlineStr">
        <is>
          <t>제품규격표.xlsx</t>
        </is>
      </c>
    </row>
    <row r="78">
      <c r="A78" t="inlineStr">
        <is>
          <t>B201440</t>
        </is>
      </c>
      <c r="B78" t="inlineStr">
        <is>
          <t>레스틸렌 리프트 리도</t>
        </is>
      </c>
      <c r="C78" t="n">
        <v>21.2</v>
      </c>
      <c r="D78" t="n">
        <v>6.3</v>
      </c>
      <c r="E78" t="n">
        <v>2.6</v>
      </c>
      <c r="F78" t="n">
        <v>0.049</v>
      </c>
      <c r="H78" t="inlineStr">
        <is>
          <t>Y</t>
        </is>
      </c>
      <c r="I78" t="inlineStr">
        <is>
          <t>제품규격표.xlsx</t>
        </is>
      </c>
    </row>
    <row r="79">
      <c r="A79" t="inlineStr">
        <is>
          <t>B201450</t>
        </is>
      </c>
      <c r="B79" t="inlineStr">
        <is>
          <t>레스틸렌 볼림 리도</t>
        </is>
      </c>
      <c r="C79" t="n">
        <v>19.3</v>
      </c>
      <c r="D79" t="n">
        <v>7.4</v>
      </c>
      <c r="E79" t="n">
        <v>3.2</v>
      </c>
      <c r="F79" t="n">
        <v>0.055</v>
      </c>
      <c r="H79" t="inlineStr">
        <is>
          <t>Y</t>
        </is>
      </c>
      <c r="I79" t="inlineStr">
        <is>
          <t>제품규격표.xlsx</t>
        </is>
      </c>
    </row>
    <row r="80">
      <c r="A80" t="inlineStr">
        <is>
          <t>B201460</t>
        </is>
      </c>
      <c r="B80" t="inlineStr">
        <is>
          <t>레스틸렌 키스 리도</t>
        </is>
      </c>
      <c r="C80" t="n">
        <v>19.3</v>
      </c>
      <c r="D80" t="n">
        <v>7.4</v>
      </c>
      <c r="E80" t="n">
        <v>3.2</v>
      </c>
      <c r="F80" t="n">
        <v>0.055</v>
      </c>
      <c r="H80" t="inlineStr">
        <is>
          <t>Y</t>
        </is>
      </c>
      <c r="I80" t="inlineStr">
        <is>
          <t>제품규격표.xlsx</t>
        </is>
      </c>
    </row>
    <row r="81">
      <c r="A81" t="inlineStr">
        <is>
          <t>B201610</t>
        </is>
      </c>
      <c r="B81" t="inlineStr">
        <is>
          <t>리제노뷰 서브큐 리도</t>
        </is>
      </c>
      <c r="C81" t="n">
        <v>17.2</v>
      </c>
      <c r="D81" t="n">
        <v>7.3</v>
      </c>
      <c r="E81" t="n">
        <v>3</v>
      </c>
      <c r="F81" t="n">
        <v>0.04</v>
      </c>
      <c r="H81" t="inlineStr">
        <is>
          <t>Y</t>
        </is>
      </c>
      <c r="I81" t="inlineStr">
        <is>
          <t>제품규격표.xlsx</t>
        </is>
      </c>
    </row>
    <row r="82">
      <c r="A82" t="inlineStr">
        <is>
          <t>B201620</t>
        </is>
      </c>
      <c r="B82" t="inlineStr">
        <is>
          <t>리제노뷰 딥 리도</t>
        </is>
      </c>
      <c r="C82" t="n">
        <v>17.2</v>
      </c>
      <c r="D82" t="n">
        <v>7.3</v>
      </c>
      <c r="E82" t="n">
        <v>3</v>
      </c>
      <c r="F82" t="n">
        <v>0.04</v>
      </c>
      <c r="H82" t="inlineStr">
        <is>
          <t>Y</t>
        </is>
      </c>
      <c r="I82" t="inlineStr">
        <is>
          <t>제품규격표.xlsx</t>
        </is>
      </c>
    </row>
    <row r="83">
      <c r="A83" t="inlineStr">
        <is>
          <t>B201810</t>
        </is>
      </c>
      <c r="B83" t="inlineStr">
        <is>
          <t>리제니스 쉐이프</t>
        </is>
      </c>
      <c r="C83" t="n">
        <v>19.5</v>
      </c>
      <c r="D83" t="n">
        <v>7</v>
      </c>
      <c r="E83" t="n">
        <v>3.1</v>
      </c>
      <c r="F83" t="n">
        <v>0.043</v>
      </c>
      <c r="H83" t="inlineStr">
        <is>
          <t>Y</t>
        </is>
      </c>
      <c r="I83" t="inlineStr">
        <is>
          <t>제품규격표.xlsx</t>
        </is>
      </c>
    </row>
    <row r="84">
      <c r="A84" t="inlineStr">
        <is>
          <t>B201830</t>
        </is>
      </c>
      <c r="B84" t="inlineStr">
        <is>
          <t>리제니스 파인</t>
        </is>
      </c>
      <c r="C84" t="n">
        <v>19.5</v>
      </c>
      <c r="D84" t="n">
        <v>7</v>
      </c>
      <c r="E84" t="n">
        <v>3.1</v>
      </c>
      <c r="F84" t="n">
        <v>0.043</v>
      </c>
      <c r="H84" t="inlineStr">
        <is>
          <t>Y</t>
        </is>
      </c>
      <c r="I84" t="inlineStr">
        <is>
          <t>제품규격표.xlsx</t>
        </is>
      </c>
    </row>
    <row r="85">
      <c r="A85" t="inlineStr">
        <is>
          <t>B201910</t>
        </is>
      </c>
      <c r="B85" t="inlineStr">
        <is>
          <t>리제니스 스파클</t>
        </is>
      </c>
      <c r="C85" t="n">
        <v>19.6</v>
      </c>
      <c r="D85" t="n">
        <v>7</v>
      </c>
      <c r="E85" t="n">
        <v>7.3</v>
      </c>
      <c r="F85" t="n">
        <v>0.105</v>
      </c>
      <c r="H85" t="inlineStr">
        <is>
          <t>Y</t>
        </is>
      </c>
      <c r="I85" t="inlineStr">
        <is>
          <t>제품규격표.xlsx</t>
        </is>
      </c>
    </row>
    <row r="86">
      <c r="A86" t="inlineStr">
        <is>
          <t>B202010</t>
        </is>
      </c>
      <c r="B86" t="inlineStr">
        <is>
          <t>리플렌젠 임플란트</t>
        </is>
      </c>
      <c r="C86" t="n">
        <v>19.3</v>
      </c>
      <c r="D86" t="n">
        <v>7.2</v>
      </c>
      <c r="E86" t="n">
        <v>2.8</v>
      </c>
      <c r="F86" t="n">
        <v>0.052</v>
      </c>
      <c r="H86" t="inlineStr">
        <is>
          <t>Y</t>
        </is>
      </c>
      <c r="I86" t="inlineStr">
        <is>
          <t>제품규격표.xlsx</t>
        </is>
      </c>
      <c r="M86" t="inlineStr">
        <is>
          <t>BOX_CAP_BX010_300_BX008_200</t>
        </is>
      </c>
    </row>
    <row r="87">
      <c r="A87" t="inlineStr">
        <is>
          <t>B202020</t>
        </is>
      </c>
      <c r="B87" t="inlineStr">
        <is>
          <t>리플렌젠 볼륨</t>
        </is>
      </c>
      <c r="C87" t="n">
        <v>19.3</v>
      </c>
      <c r="D87" t="n">
        <v>7.2</v>
      </c>
      <c r="E87" t="n">
        <v>2.8</v>
      </c>
      <c r="F87" t="n">
        <v>0.052</v>
      </c>
      <c r="H87" t="inlineStr">
        <is>
          <t>Y</t>
        </is>
      </c>
      <c r="I87" t="inlineStr">
        <is>
          <t>제품규격표.xlsx</t>
        </is>
      </c>
      <c r="M87" t="inlineStr">
        <is>
          <t>BOX_CAP_BX010_300_BX008_200</t>
        </is>
      </c>
    </row>
    <row r="88">
      <c r="A88" t="inlineStr">
        <is>
          <t>B202030</t>
        </is>
      </c>
      <c r="B88" t="inlineStr">
        <is>
          <t>리플렌젠 딥</t>
        </is>
      </c>
      <c r="C88" t="n">
        <v>19.3</v>
      </c>
      <c r="D88" t="n">
        <v>7.2</v>
      </c>
      <c r="E88" t="n">
        <v>2.8</v>
      </c>
      <c r="F88" t="n">
        <v>0.052</v>
      </c>
      <c r="H88" t="inlineStr">
        <is>
          <t>Y</t>
        </is>
      </c>
      <c r="I88" t="inlineStr">
        <is>
          <t>제품규격표.xlsx</t>
        </is>
      </c>
      <c r="M88" t="inlineStr">
        <is>
          <t>BOX_CAP_BX010_300_BX008_200</t>
        </is>
      </c>
    </row>
    <row r="89">
      <c r="A89" t="inlineStr">
        <is>
          <t>B202040</t>
        </is>
      </c>
      <c r="B89" t="inlineStr">
        <is>
          <t>리플렌젠 파인</t>
        </is>
      </c>
      <c r="C89" t="n">
        <v>19.3</v>
      </c>
      <c r="D89" t="n">
        <v>7.2</v>
      </c>
      <c r="E89" t="n">
        <v>2.8</v>
      </c>
      <c r="F89" t="n">
        <v>0.052</v>
      </c>
      <c r="H89" t="inlineStr">
        <is>
          <t>Y</t>
        </is>
      </c>
      <c r="I89" t="inlineStr">
        <is>
          <t>제품규격표.xlsx</t>
        </is>
      </c>
      <c r="M89" t="inlineStr">
        <is>
          <t>BOX_CAP_BX010_300_BX008_200</t>
        </is>
      </c>
    </row>
    <row r="90">
      <c r="A90" t="inlineStr">
        <is>
          <t>B202310</t>
        </is>
      </c>
      <c r="B90" t="inlineStr">
        <is>
          <t>모나리자 하드 노리도</t>
        </is>
      </c>
      <c r="C90" t="n">
        <v>17.8</v>
      </c>
      <c r="D90" t="n">
        <v>9</v>
      </c>
      <c r="E90" t="n">
        <v>2.6</v>
      </c>
      <c r="F90" t="n">
        <v>0.059</v>
      </c>
      <c r="H90" t="inlineStr">
        <is>
          <t>Y</t>
        </is>
      </c>
      <c r="I90" t="inlineStr">
        <is>
          <t>제품규격표.xlsx</t>
        </is>
      </c>
    </row>
    <row r="91">
      <c r="A91" t="inlineStr">
        <is>
          <t>B202410</t>
        </is>
      </c>
      <c r="B91" t="inlineStr">
        <is>
          <t>미드포인트</t>
        </is>
      </c>
      <c r="C91" t="n">
        <v>17.5</v>
      </c>
      <c r="D91" t="n">
        <v>7.2</v>
      </c>
      <c r="E91" t="n">
        <v>5.3</v>
      </c>
      <c r="F91" t="n">
        <v>0.058</v>
      </c>
      <c r="H91" t="inlineStr">
        <is>
          <t>Y</t>
        </is>
      </c>
      <c r="I91" t="inlineStr">
        <is>
          <t>제품규격표.xlsx</t>
        </is>
      </c>
    </row>
    <row r="92">
      <c r="A92" t="inlineStr">
        <is>
          <t>B202510</t>
        </is>
      </c>
      <c r="B92" t="inlineStr">
        <is>
          <t>미라인 볼륨</t>
        </is>
      </c>
      <c r="C92" t="n">
        <v>19.5</v>
      </c>
      <c r="D92" t="n">
        <v>7.1</v>
      </c>
      <c r="E92" t="n">
        <v>2.9</v>
      </c>
      <c r="F92" t="n">
        <v>0.048</v>
      </c>
      <c r="H92" t="inlineStr">
        <is>
          <t>Y</t>
        </is>
      </c>
      <c r="I92" t="inlineStr">
        <is>
          <t>제품규격표.xlsx</t>
        </is>
      </c>
      <c r="M92" t="inlineStr">
        <is>
          <t>BOX_CAP_BX010_300_BX008_200</t>
        </is>
      </c>
    </row>
    <row r="93">
      <c r="A93" t="inlineStr">
        <is>
          <t>B202520</t>
        </is>
      </c>
      <c r="B93" t="inlineStr">
        <is>
          <t>미라인 딥</t>
        </is>
      </c>
      <c r="C93" t="n">
        <v>19.5</v>
      </c>
      <c r="D93" t="n">
        <v>7.1</v>
      </c>
      <c r="E93" t="n">
        <v>2.9</v>
      </c>
      <c r="F93" t="n">
        <v>0.048</v>
      </c>
      <c r="H93" t="inlineStr">
        <is>
          <t>Y</t>
        </is>
      </c>
      <c r="I93" t="inlineStr">
        <is>
          <t>제품규격표.xlsx</t>
        </is>
      </c>
      <c r="M93" t="inlineStr">
        <is>
          <t>BOX_CAP_BX010_300_BX008_200</t>
        </is>
      </c>
    </row>
    <row r="94">
      <c r="A94" t="inlineStr">
        <is>
          <t>B202530</t>
        </is>
      </c>
      <c r="B94" t="inlineStr">
        <is>
          <t>미라인 클래식</t>
        </is>
      </c>
      <c r="C94" t="n">
        <v>19.5</v>
      </c>
      <c r="D94" t="n">
        <v>7.1</v>
      </c>
      <c r="E94" t="n">
        <v>2.9</v>
      </c>
      <c r="F94" t="n">
        <v>0.048</v>
      </c>
      <c r="H94" t="inlineStr">
        <is>
          <t>Y</t>
        </is>
      </c>
      <c r="I94" t="inlineStr">
        <is>
          <t>제품규격표.xlsx</t>
        </is>
      </c>
      <c r="M94" t="inlineStr">
        <is>
          <t>BOX_CAP_BX010_300_BX008_200</t>
        </is>
      </c>
    </row>
    <row r="95">
      <c r="A95" t="inlineStr">
        <is>
          <t>B202640</t>
        </is>
      </c>
      <c r="B95" t="inlineStr">
        <is>
          <t>미스필 라이트 리도</t>
        </is>
      </c>
      <c r="C95" t="n">
        <v>19.3</v>
      </c>
      <c r="D95" t="n">
        <v>7.2</v>
      </c>
      <c r="E95" t="n">
        <v>2.9</v>
      </c>
      <c r="F95" t="n">
        <v>0.047</v>
      </c>
      <c r="H95" t="inlineStr">
        <is>
          <t>Y</t>
        </is>
      </c>
      <c r="I95" t="inlineStr">
        <is>
          <t>제품규격표.xlsx</t>
        </is>
      </c>
      <c r="M95" t="inlineStr">
        <is>
          <t>BOX_CAP_BX010_300_BX008_200</t>
        </is>
      </c>
    </row>
    <row r="96">
      <c r="A96" t="inlineStr">
        <is>
          <t>B202710</t>
        </is>
      </c>
      <c r="B96" t="inlineStr">
        <is>
          <t>벨라스트 울트라 플러스</t>
        </is>
      </c>
      <c r="C96" t="n">
        <v>19.8</v>
      </c>
      <c r="D96" t="n">
        <v>7.3</v>
      </c>
      <c r="E96" t="n">
        <v>3.1</v>
      </c>
      <c r="F96" t="n">
        <v>0.046</v>
      </c>
      <c r="H96" t="inlineStr">
        <is>
          <t>Y</t>
        </is>
      </c>
      <c r="I96" t="inlineStr">
        <is>
          <t>제품규격표.xlsx</t>
        </is>
      </c>
    </row>
    <row r="97">
      <c r="A97" t="inlineStr">
        <is>
          <t>B202720</t>
        </is>
      </c>
      <c r="B97" t="inlineStr">
        <is>
          <t>벨라스트 울트라 L</t>
        </is>
      </c>
      <c r="C97" t="n">
        <v>19.8</v>
      </c>
      <c r="D97" t="n">
        <v>7.3</v>
      </c>
      <c r="E97" t="n">
        <v>3.1</v>
      </c>
      <c r="F97" t="n">
        <v>0.046</v>
      </c>
      <c r="H97" t="inlineStr">
        <is>
          <t>Y</t>
        </is>
      </c>
      <c r="I97" t="inlineStr">
        <is>
          <t>제품규격표.xlsx</t>
        </is>
      </c>
    </row>
    <row r="98">
      <c r="A98" t="inlineStr">
        <is>
          <t>B202730</t>
        </is>
      </c>
      <c r="B98" t="inlineStr">
        <is>
          <t>벨라스트 울트라 소프트 L</t>
        </is>
      </c>
      <c r="C98" t="n">
        <v>19.8</v>
      </c>
      <c r="D98" t="n">
        <v>7.3</v>
      </c>
      <c r="E98" t="n">
        <v>3.1</v>
      </c>
      <c r="F98" t="n">
        <v>0.046</v>
      </c>
      <c r="H98" t="inlineStr">
        <is>
          <t>Y</t>
        </is>
      </c>
      <c r="I98" t="inlineStr">
        <is>
          <t>제품규격표.xlsx</t>
        </is>
      </c>
    </row>
    <row r="99">
      <c r="A99" t="inlineStr">
        <is>
          <t>B203160</t>
        </is>
      </c>
      <c r="B99" t="inlineStr">
        <is>
          <t>볼라썸</t>
        </is>
      </c>
      <c r="C99" t="n">
        <v>21.1</v>
      </c>
      <c r="D99" t="n">
        <v>9</v>
      </c>
      <c r="E99" t="n">
        <v>4.7</v>
      </c>
      <c r="F99" t="n">
        <v>0.08699999999999999</v>
      </c>
      <c r="H99" t="inlineStr">
        <is>
          <t>Y</t>
        </is>
      </c>
      <c r="I99" t="inlineStr">
        <is>
          <t>제품규격표.xlsx</t>
        </is>
      </c>
    </row>
    <row r="100">
      <c r="A100" t="inlineStr">
        <is>
          <t>B203210</t>
        </is>
      </c>
      <c r="B100" t="inlineStr">
        <is>
          <t>봄필러 볼륨</t>
        </is>
      </c>
      <c r="C100" t="n">
        <v>17.4</v>
      </c>
      <c r="D100" t="n">
        <v>7.2</v>
      </c>
      <c r="E100" t="n">
        <v>5.3</v>
      </c>
      <c r="F100" t="n">
        <v>0.059</v>
      </c>
      <c r="H100" t="inlineStr">
        <is>
          <t>Y</t>
        </is>
      </c>
      <c r="I100" t="inlineStr">
        <is>
          <t>제품규격표.xlsx</t>
        </is>
      </c>
    </row>
    <row r="101">
      <c r="A101" t="inlineStr">
        <is>
          <t>B203220</t>
        </is>
      </c>
      <c r="B101" t="inlineStr">
        <is>
          <t>봄필러 인텐시브</t>
        </is>
      </c>
      <c r="C101" t="n">
        <v>17.4</v>
      </c>
      <c r="D101" t="n">
        <v>7.2</v>
      </c>
      <c r="E101" t="n">
        <v>5.3</v>
      </c>
      <c r="F101" t="n">
        <v>0.059</v>
      </c>
      <c r="H101" t="inlineStr">
        <is>
          <t>Y</t>
        </is>
      </c>
      <c r="I101" t="inlineStr">
        <is>
          <t>제품규격표.xlsx</t>
        </is>
      </c>
    </row>
    <row r="102">
      <c r="A102" t="inlineStr">
        <is>
          <t>B203230</t>
        </is>
      </c>
      <c r="B102" t="inlineStr">
        <is>
          <t>봄필러 라이트</t>
        </is>
      </c>
      <c r="C102" t="n">
        <v>17.4</v>
      </c>
      <c r="D102" t="n">
        <v>7.2</v>
      </c>
      <c r="E102" t="n">
        <v>5.3</v>
      </c>
      <c r="F102" t="n">
        <v>0.059</v>
      </c>
      <c r="H102" t="inlineStr">
        <is>
          <t>Y</t>
        </is>
      </c>
      <c r="I102" t="inlineStr">
        <is>
          <t>제품규격표.xlsx</t>
        </is>
      </c>
    </row>
    <row r="103">
      <c r="A103" t="inlineStr">
        <is>
          <t>B203420</t>
        </is>
      </c>
      <c r="B103" t="inlineStr">
        <is>
          <t>비타란</t>
        </is>
      </c>
      <c r="C103" t="n">
        <v>21.6</v>
      </c>
      <c r="D103" t="n">
        <v>7.8</v>
      </c>
      <c r="E103" t="n">
        <v>2.6</v>
      </c>
      <c r="F103" t="n">
        <v>0.05</v>
      </c>
      <c r="H103" t="inlineStr">
        <is>
          <t>Y</t>
        </is>
      </c>
      <c r="I103" t="inlineStr">
        <is>
          <t>제품규격표.xlsx</t>
        </is>
      </c>
    </row>
    <row r="104">
      <c r="A104" t="inlineStr">
        <is>
          <t>B203610</t>
        </is>
      </c>
      <c r="B104" t="inlineStr">
        <is>
          <t>셀로좀 임플란트 리도</t>
        </is>
      </c>
      <c r="C104" t="n">
        <v>19.5</v>
      </c>
      <c r="D104" t="n">
        <v>7.5</v>
      </c>
      <c r="E104" t="n">
        <v>2.7</v>
      </c>
      <c r="F104" t="n">
        <v>0.06</v>
      </c>
      <c r="H104" t="inlineStr">
        <is>
          <t>Y</t>
        </is>
      </c>
      <c r="I104" t="inlineStr">
        <is>
          <t>제품규격표.xlsx</t>
        </is>
      </c>
      <c r="M104" t="inlineStr">
        <is>
          <t>BOX_CAP_BX010_300_BX008_200</t>
        </is>
      </c>
    </row>
    <row r="105">
      <c r="A105" t="inlineStr">
        <is>
          <t>B203620</t>
        </is>
      </c>
      <c r="B105" t="inlineStr">
        <is>
          <t>셀로좀 스트롱 리도</t>
        </is>
      </c>
      <c r="C105" t="n">
        <v>19.5</v>
      </c>
      <c r="D105" t="n">
        <v>7.5</v>
      </c>
      <c r="E105" t="n">
        <v>2.7</v>
      </c>
      <c r="F105" t="n">
        <v>0.06</v>
      </c>
      <c r="H105" t="inlineStr">
        <is>
          <t>Y</t>
        </is>
      </c>
      <c r="I105" t="inlineStr">
        <is>
          <t>제품규격표.xlsx</t>
        </is>
      </c>
      <c r="M105" t="inlineStr">
        <is>
          <t>BOX_CAP_BX010_300_BX008_200</t>
        </is>
      </c>
    </row>
    <row r="106">
      <c r="A106" t="inlineStr">
        <is>
          <t>B203630</t>
        </is>
      </c>
      <c r="B106" t="inlineStr">
        <is>
          <t>셀로좀 미드 리도</t>
        </is>
      </c>
      <c r="C106" t="n">
        <v>19.5</v>
      </c>
      <c r="D106" t="n">
        <v>7.5</v>
      </c>
      <c r="E106" t="n">
        <v>2.7</v>
      </c>
      <c r="F106" t="n">
        <v>0.06</v>
      </c>
      <c r="H106" t="inlineStr">
        <is>
          <t>Y</t>
        </is>
      </c>
      <c r="I106" t="inlineStr">
        <is>
          <t>제품규격표.xlsx</t>
        </is>
      </c>
      <c r="M106" t="inlineStr">
        <is>
          <t>BOX_CAP_BX010_300_BX008_200</t>
        </is>
      </c>
    </row>
    <row r="107">
      <c r="A107" t="inlineStr">
        <is>
          <t>B203640</t>
        </is>
      </c>
      <c r="B107" t="inlineStr">
        <is>
          <t>셀로좀 소프트 리도</t>
        </is>
      </c>
      <c r="C107" t="n">
        <v>19.5</v>
      </c>
      <c r="D107" t="n">
        <v>7.5</v>
      </c>
      <c r="E107" t="n">
        <v>2.7</v>
      </c>
      <c r="F107" t="n">
        <v>0.06</v>
      </c>
      <c r="H107" t="inlineStr">
        <is>
          <t>Y</t>
        </is>
      </c>
      <c r="I107" t="inlineStr">
        <is>
          <t>제품규격표.xlsx</t>
        </is>
      </c>
      <c r="M107" t="inlineStr">
        <is>
          <t>BOX_CAP_BX010_300_BX008_200</t>
        </is>
      </c>
    </row>
    <row r="108">
      <c r="A108" t="inlineStr">
        <is>
          <t>B203780</t>
        </is>
      </c>
      <c r="B108" t="inlineStr">
        <is>
          <t>순수필 500</t>
        </is>
      </c>
      <c r="C108" t="n">
        <v>17.1</v>
      </c>
      <c r="D108" t="n">
        <v>7.3</v>
      </c>
      <c r="E108" t="n">
        <v>2.9</v>
      </c>
      <c r="F108" t="n">
        <v>0.039</v>
      </c>
      <c r="H108" t="inlineStr">
        <is>
          <t>Y</t>
        </is>
      </c>
      <c r="I108" t="inlineStr">
        <is>
          <t>제품규격표.xlsx</t>
        </is>
      </c>
    </row>
    <row r="109">
      <c r="A109" t="inlineStr">
        <is>
          <t>B203781</t>
        </is>
      </c>
      <c r="B109" t="inlineStr">
        <is>
          <t>순수필 300</t>
        </is>
      </c>
      <c r="C109" t="n">
        <v>17.1</v>
      </c>
      <c r="D109" t="n">
        <v>7.3</v>
      </c>
      <c r="E109" t="n">
        <v>2.9</v>
      </c>
      <c r="F109" t="n">
        <v>0.039</v>
      </c>
      <c r="H109" t="inlineStr">
        <is>
          <t>Y</t>
        </is>
      </c>
      <c r="I109" t="inlineStr">
        <is>
          <t>제품규격표.xlsx</t>
        </is>
      </c>
    </row>
    <row r="110">
      <c r="A110" t="inlineStr">
        <is>
          <t>B203782</t>
        </is>
      </c>
      <c r="B110" t="inlineStr">
        <is>
          <t>순수필 100</t>
        </is>
      </c>
      <c r="C110" t="n">
        <v>17.1</v>
      </c>
      <c r="D110" t="n">
        <v>7.3</v>
      </c>
      <c r="E110" t="n">
        <v>2.9</v>
      </c>
      <c r="F110" t="n">
        <v>0.039</v>
      </c>
      <c r="H110" t="inlineStr">
        <is>
          <t>Y</t>
        </is>
      </c>
      <c r="I110" t="inlineStr">
        <is>
          <t>제품규격표.xlsx</t>
        </is>
      </c>
    </row>
    <row r="111">
      <c r="A111" t="inlineStr">
        <is>
          <t>B203830</t>
        </is>
      </c>
      <c r="B111" t="inlineStr">
        <is>
          <t>스타일에이지 M 리도</t>
        </is>
      </c>
      <c r="C111" t="n">
        <v>18.8</v>
      </c>
      <c r="D111" t="n">
        <v>7.7</v>
      </c>
      <c r="E111" t="n">
        <v>5.6</v>
      </c>
      <c r="F111" t="n">
        <v>0.112</v>
      </c>
      <c r="H111" t="inlineStr">
        <is>
          <t>Y</t>
        </is>
      </c>
      <c r="I111" t="inlineStr">
        <is>
          <t>제품규격표.xlsx</t>
        </is>
      </c>
    </row>
    <row r="112">
      <c r="A112" t="inlineStr">
        <is>
          <t>B203870</t>
        </is>
      </c>
      <c r="B112" t="inlineStr">
        <is>
          <t>스타필 임플란트 플러스 리도</t>
        </is>
      </c>
      <c r="C112" t="n">
        <v>17</v>
      </c>
      <c r="D112" t="n">
        <v>7.3</v>
      </c>
      <c r="E112" t="n">
        <v>3</v>
      </c>
      <c r="F112" t="n">
        <v>0.04</v>
      </c>
      <c r="H112" t="inlineStr">
        <is>
          <t>Y</t>
        </is>
      </c>
      <c r="I112" t="inlineStr">
        <is>
          <t>제품규격표.xlsx</t>
        </is>
      </c>
    </row>
    <row r="113">
      <c r="A113" t="inlineStr">
        <is>
          <t>B203880</t>
        </is>
      </c>
      <c r="B113" t="inlineStr">
        <is>
          <t>스타필 딥 플러스 리도</t>
        </is>
      </c>
      <c r="C113" t="n">
        <v>17</v>
      </c>
      <c r="D113" t="n">
        <v>7.3</v>
      </c>
      <c r="E113" t="n">
        <v>3</v>
      </c>
      <c r="F113" t="n">
        <v>0.04</v>
      </c>
      <c r="H113" t="inlineStr">
        <is>
          <t>Y</t>
        </is>
      </c>
      <c r="I113" t="inlineStr">
        <is>
          <t>제품규격표.xlsx</t>
        </is>
      </c>
    </row>
    <row r="114">
      <c r="A114" t="inlineStr">
        <is>
          <t>B204420</t>
        </is>
      </c>
      <c r="B114" t="inlineStr">
        <is>
          <t>엘라비에 볼륨</t>
        </is>
      </c>
      <c r="C114" t="n">
        <v>19.7</v>
      </c>
      <c r="D114" t="n">
        <v>7.2</v>
      </c>
      <c r="E114" t="n">
        <v>3.2</v>
      </c>
      <c r="F114" t="n">
        <v>0.045</v>
      </c>
      <c r="H114" t="inlineStr">
        <is>
          <t>Y</t>
        </is>
      </c>
      <c r="I114" t="inlineStr">
        <is>
          <t>제품규격표.xlsx</t>
        </is>
      </c>
    </row>
    <row r="115">
      <c r="A115" t="inlineStr">
        <is>
          <t>B204430</t>
        </is>
      </c>
      <c r="B115" t="inlineStr">
        <is>
          <t>엘라비에 딥</t>
        </is>
      </c>
      <c r="C115" t="n">
        <v>19.7</v>
      </c>
      <c r="D115" t="n">
        <v>7.2</v>
      </c>
      <c r="E115" t="n">
        <v>3.2</v>
      </c>
      <c r="F115" t="n">
        <v>0.045</v>
      </c>
      <c r="H115" t="inlineStr">
        <is>
          <t>Y</t>
        </is>
      </c>
      <c r="I115" t="inlineStr">
        <is>
          <t>제품규격표.xlsx</t>
        </is>
      </c>
    </row>
    <row r="116">
      <c r="A116" t="inlineStr">
        <is>
          <t>B204510</t>
        </is>
      </c>
      <c r="B116" t="inlineStr">
        <is>
          <t>엘라스티 G 플러스(2syr)</t>
        </is>
      </c>
      <c r="C116" t="n">
        <v>19.4</v>
      </c>
      <c r="D116" t="n">
        <v>7.6</v>
      </c>
      <c r="E116" t="n">
        <v>5</v>
      </c>
      <c r="F116" t="n">
        <v>0.078</v>
      </c>
      <c r="H116" t="inlineStr">
        <is>
          <t>Y</t>
        </is>
      </c>
      <c r="I116" t="inlineStr">
        <is>
          <t>제품규격표.xlsx</t>
        </is>
      </c>
    </row>
    <row r="117">
      <c r="A117" t="inlineStr">
        <is>
          <t>B204520</t>
        </is>
      </c>
      <c r="B117" t="inlineStr">
        <is>
          <t>엘라스티 D 플러스(2syr)</t>
        </is>
      </c>
      <c r="C117" t="n">
        <v>19.4</v>
      </c>
      <c r="D117" t="n">
        <v>7.6</v>
      </c>
      <c r="E117" t="n">
        <v>5</v>
      </c>
      <c r="F117" t="n">
        <v>0.078</v>
      </c>
      <c r="H117" t="inlineStr">
        <is>
          <t>Y</t>
        </is>
      </c>
      <c r="I117" t="inlineStr">
        <is>
          <t>제품규격표.xlsx</t>
        </is>
      </c>
    </row>
    <row r="118">
      <c r="A118" t="inlineStr">
        <is>
          <t>B204530</t>
        </is>
      </c>
      <c r="B118" t="inlineStr">
        <is>
          <t>엘라스티 F 플러스(2syr)</t>
        </is>
      </c>
      <c r="C118" t="n">
        <v>19.4</v>
      </c>
      <c r="D118" t="n">
        <v>7.6</v>
      </c>
      <c r="E118" t="n">
        <v>5</v>
      </c>
      <c r="F118" t="n">
        <v>0.078</v>
      </c>
      <c r="H118" t="inlineStr">
        <is>
          <t>Y</t>
        </is>
      </c>
      <c r="I118" t="inlineStr">
        <is>
          <t>제품규격표.xlsx</t>
        </is>
      </c>
    </row>
    <row r="119">
      <c r="A119" t="inlineStr">
        <is>
          <t>B204610</t>
        </is>
      </c>
      <c r="B119" t="inlineStr">
        <is>
          <t>엘라스티 G(2syr)</t>
        </is>
      </c>
      <c r="C119" t="n">
        <v>19.4</v>
      </c>
      <c r="D119" t="n">
        <v>7.6</v>
      </c>
      <c r="E119" t="n">
        <v>5</v>
      </c>
      <c r="F119" t="n">
        <v>0.077</v>
      </c>
      <c r="H119" t="inlineStr">
        <is>
          <t>Y</t>
        </is>
      </c>
      <c r="I119" t="inlineStr">
        <is>
          <t>제품규격표.xlsx</t>
        </is>
      </c>
    </row>
    <row r="120">
      <c r="A120" t="inlineStr">
        <is>
          <t>B204620</t>
        </is>
      </c>
      <c r="B120" t="inlineStr">
        <is>
          <t>엘라스티 D(2syr)</t>
        </is>
      </c>
      <c r="C120" t="n">
        <v>19.4</v>
      </c>
      <c r="D120" t="n">
        <v>7.6</v>
      </c>
      <c r="E120" t="n">
        <v>5</v>
      </c>
      <c r="F120" t="n">
        <v>0.078</v>
      </c>
      <c r="H120" t="inlineStr">
        <is>
          <t>Y</t>
        </is>
      </c>
      <c r="I120" t="inlineStr">
        <is>
          <t>제품규격표.xlsx</t>
        </is>
      </c>
    </row>
    <row r="121">
      <c r="A121" t="inlineStr">
        <is>
          <t>B204630</t>
        </is>
      </c>
      <c r="B121" t="inlineStr">
        <is>
          <t>엘라스티 F(2syr)</t>
        </is>
      </c>
      <c r="C121" t="n">
        <v>19.4</v>
      </c>
      <c r="D121" t="n">
        <v>7.6</v>
      </c>
      <c r="E121" t="n">
        <v>5</v>
      </c>
      <c r="F121" t="n">
        <v>0.083</v>
      </c>
      <c r="H121" t="inlineStr">
        <is>
          <t>Y</t>
        </is>
      </c>
      <c r="I121" t="inlineStr">
        <is>
          <t>제품규격표.xlsx</t>
        </is>
      </c>
    </row>
    <row r="122">
      <c r="A122" t="inlineStr">
        <is>
          <t>B204710</t>
        </is>
      </c>
      <c r="B122" t="inlineStr">
        <is>
          <t>엘라스티 G 플러스(1syr)</t>
        </is>
      </c>
      <c r="C122" t="n">
        <v>19.2</v>
      </c>
      <c r="D122" t="n">
        <v>7.1</v>
      </c>
      <c r="E122" t="n">
        <v>2.8</v>
      </c>
      <c r="F122" t="n">
        <v>0.048</v>
      </c>
      <c r="H122" t="inlineStr">
        <is>
          <t>Y</t>
        </is>
      </c>
      <c r="I122" t="inlineStr">
        <is>
          <t>제품규격표.xlsx</t>
        </is>
      </c>
      <c r="M122" t="inlineStr">
        <is>
          <t>BOX_CAP_BX010_300_BX008_200</t>
        </is>
      </c>
    </row>
    <row r="123">
      <c r="A123" t="inlineStr">
        <is>
          <t>B204730</t>
        </is>
      </c>
      <c r="B123" t="inlineStr">
        <is>
          <t>엘라스티 F 플러스(1syr)</t>
        </is>
      </c>
      <c r="C123" t="n">
        <v>19.2</v>
      </c>
      <c r="D123" t="n">
        <v>7.1</v>
      </c>
      <c r="E123" t="n">
        <v>2.8</v>
      </c>
      <c r="F123" t="n">
        <v>0.048</v>
      </c>
      <c r="H123" t="inlineStr">
        <is>
          <t>Y</t>
        </is>
      </c>
      <c r="I123" t="inlineStr">
        <is>
          <t>제품규격표.xlsx</t>
        </is>
      </c>
      <c r="M123" t="inlineStr">
        <is>
          <t>BOX_CAP_BX010_300_BX008_200</t>
        </is>
      </c>
    </row>
    <row r="124">
      <c r="A124" t="inlineStr">
        <is>
          <t>B204920</t>
        </is>
      </c>
      <c r="B124" t="inlineStr">
        <is>
          <t>유스필 PN 리도</t>
        </is>
      </c>
      <c r="C124" t="n">
        <v>19.6</v>
      </c>
      <c r="D124" t="n">
        <v>7.1</v>
      </c>
      <c r="E124" t="n">
        <v>3</v>
      </c>
      <c r="F124" t="n">
        <v>0.056</v>
      </c>
      <c r="H124" t="inlineStr">
        <is>
          <t>Y</t>
        </is>
      </c>
      <c r="I124" t="inlineStr">
        <is>
          <t>제품규격표.xlsx</t>
        </is>
      </c>
    </row>
    <row r="125">
      <c r="A125" t="inlineStr">
        <is>
          <t>B205110</t>
        </is>
      </c>
      <c r="B125" t="inlineStr">
        <is>
          <t>이브아르 컨투어</t>
        </is>
      </c>
      <c r="C125" t="n">
        <v>19.2</v>
      </c>
      <c r="D125" t="n">
        <v>7.2</v>
      </c>
      <c r="E125" t="n">
        <v>3</v>
      </c>
      <c r="F125" t="n">
        <v>0.041</v>
      </c>
      <c r="H125" t="inlineStr">
        <is>
          <t>Y</t>
        </is>
      </c>
      <c r="I125" t="inlineStr">
        <is>
          <t>제품규격표.xlsx</t>
        </is>
      </c>
    </row>
    <row r="126">
      <c r="A126" t="inlineStr">
        <is>
          <t>B205120</t>
        </is>
      </c>
      <c r="B126" t="inlineStr">
        <is>
          <t>이브아르 볼륨</t>
        </is>
      </c>
      <c r="C126" t="n">
        <v>19.2</v>
      </c>
      <c r="D126" t="n">
        <v>7.2</v>
      </c>
      <c r="E126" t="n">
        <v>3</v>
      </c>
      <c r="F126" t="n">
        <v>0.041</v>
      </c>
      <c r="H126" t="inlineStr">
        <is>
          <t>Y</t>
        </is>
      </c>
      <c r="I126" t="inlineStr">
        <is>
          <t>제품규격표.xlsx</t>
        </is>
      </c>
    </row>
    <row r="127">
      <c r="A127" t="inlineStr">
        <is>
          <t>B205130</t>
        </is>
      </c>
      <c r="B127" t="inlineStr">
        <is>
          <t>이브아르 클래식</t>
        </is>
      </c>
      <c r="C127" t="n">
        <v>19.2</v>
      </c>
      <c r="D127" t="n">
        <v>7.2</v>
      </c>
      <c r="E127" t="n">
        <v>3</v>
      </c>
      <c r="F127" t="n">
        <v>0.041</v>
      </c>
      <c r="H127" t="inlineStr">
        <is>
          <t>Y</t>
        </is>
      </c>
      <c r="I127" t="inlineStr">
        <is>
          <t>제품규격표.xlsx</t>
        </is>
      </c>
    </row>
    <row r="128">
      <c r="A128" t="inlineStr">
        <is>
          <t>B205250</t>
        </is>
      </c>
      <c r="B128" t="inlineStr">
        <is>
          <t>이브아르 볼륨 플러스(Tur)</t>
        </is>
      </c>
      <c r="C128" t="n">
        <v>19.3</v>
      </c>
      <c r="D128" t="n">
        <v>8</v>
      </c>
      <c r="E128" t="n">
        <v>2.9</v>
      </c>
      <c r="F128" t="n">
        <v>0.063</v>
      </c>
      <c r="H128" t="inlineStr">
        <is>
          <t>Y</t>
        </is>
      </c>
      <c r="I128" t="inlineStr">
        <is>
          <t>제품규격표.xlsx</t>
        </is>
      </c>
    </row>
    <row r="129">
      <c r="A129" t="inlineStr">
        <is>
          <t>B205260</t>
        </is>
      </c>
      <c r="B129" t="inlineStr">
        <is>
          <t>이브아르 클래식 플러스(Tur)</t>
        </is>
      </c>
      <c r="C129" t="n">
        <v>19.3</v>
      </c>
      <c r="D129" t="n">
        <v>8</v>
      </c>
      <c r="E129" t="n">
        <v>2.9</v>
      </c>
      <c r="F129" t="n">
        <v>0.063</v>
      </c>
      <c r="H129" t="inlineStr">
        <is>
          <t>Y</t>
        </is>
      </c>
      <c r="I129" t="inlineStr">
        <is>
          <t>제품규격표.xlsx</t>
        </is>
      </c>
    </row>
    <row r="130">
      <c r="A130" t="inlineStr">
        <is>
          <t>B205610</t>
        </is>
      </c>
      <c r="B130" t="inlineStr">
        <is>
          <t>채움4</t>
        </is>
      </c>
      <c r="C130" t="n">
        <v>19.6</v>
      </c>
      <c r="D130" t="n">
        <v>7.1</v>
      </c>
      <c r="E130" t="n">
        <v>5.2</v>
      </c>
      <c r="F130" t="n">
        <v>0.073</v>
      </c>
      <c r="H130" t="inlineStr">
        <is>
          <t>Y</t>
        </is>
      </c>
      <c r="I130" t="inlineStr">
        <is>
          <t>제품규격표.xlsx</t>
        </is>
      </c>
    </row>
    <row r="131">
      <c r="A131" t="inlineStr">
        <is>
          <t>B205620</t>
        </is>
      </c>
      <c r="B131" t="inlineStr">
        <is>
          <t>채움3</t>
        </is>
      </c>
      <c r="C131" t="n">
        <v>19.6</v>
      </c>
      <c r="D131" t="n">
        <v>7.1</v>
      </c>
      <c r="E131" t="n">
        <v>5.2</v>
      </c>
      <c r="F131" t="n">
        <v>0.073</v>
      </c>
      <c r="H131" t="inlineStr">
        <is>
          <t>Y</t>
        </is>
      </c>
      <c r="I131" t="inlineStr">
        <is>
          <t>제품규격표.xlsx</t>
        </is>
      </c>
    </row>
    <row r="132">
      <c r="A132" t="inlineStr">
        <is>
          <t>B205630</t>
        </is>
      </c>
      <c r="B132" t="inlineStr">
        <is>
          <t>채움2</t>
        </is>
      </c>
      <c r="C132" t="n">
        <v>19.6</v>
      </c>
      <c r="D132" t="n">
        <v>7.1</v>
      </c>
      <c r="E132" t="n">
        <v>5.2</v>
      </c>
      <c r="F132" t="n">
        <v>0.073</v>
      </c>
      <c r="H132" t="inlineStr">
        <is>
          <t>Y</t>
        </is>
      </c>
      <c r="I132" t="inlineStr">
        <is>
          <t>제품규격표.xlsx</t>
        </is>
      </c>
    </row>
    <row r="133">
      <c r="A133" t="inlineStr">
        <is>
          <t>B205640</t>
        </is>
      </c>
      <c r="B133" t="inlineStr">
        <is>
          <t>채움1</t>
        </is>
      </c>
      <c r="C133" t="n">
        <v>19.6</v>
      </c>
      <c r="D133" t="n">
        <v>7.1</v>
      </c>
      <c r="E133" t="n">
        <v>5.2</v>
      </c>
      <c r="F133" t="n">
        <v>0.073</v>
      </c>
      <c r="H133" t="inlineStr">
        <is>
          <t>Y</t>
        </is>
      </c>
      <c r="I133" t="inlineStr">
        <is>
          <t>제품규격표.xlsx</t>
        </is>
      </c>
    </row>
    <row r="134">
      <c r="A134" t="inlineStr">
        <is>
          <t>B205810</t>
        </is>
      </c>
      <c r="B134" t="inlineStr">
        <is>
          <t>테소로 임플란트</t>
        </is>
      </c>
      <c r="C134" t="n">
        <v>19.3</v>
      </c>
      <c r="D134" t="n">
        <v>7.1</v>
      </c>
      <c r="E134" t="n">
        <v>5.4</v>
      </c>
      <c r="F134" t="n">
        <v>0.079</v>
      </c>
      <c r="H134" t="inlineStr">
        <is>
          <t>Y</t>
        </is>
      </c>
      <c r="I134" t="inlineStr">
        <is>
          <t>제품규격표.xlsx</t>
        </is>
      </c>
    </row>
    <row r="135">
      <c r="A135" t="inlineStr">
        <is>
          <t>B205820</t>
        </is>
      </c>
      <c r="B135" t="inlineStr">
        <is>
          <t>테소로 서브큐 리도</t>
        </is>
      </c>
      <c r="C135" t="n">
        <v>19.3</v>
      </c>
      <c r="D135" t="n">
        <v>7.1</v>
      </c>
      <c r="E135" t="n">
        <v>2.9</v>
      </c>
      <c r="F135" t="n">
        <v>0.048</v>
      </c>
      <c r="H135" t="inlineStr">
        <is>
          <t>Y</t>
        </is>
      </c>
      <c r="I135" t="inlineStr">
        <is>
          <t>제품규격표.xlsx</t>
        </is>
      </c>
      <c r="M135" t="inlineStr">
        <is>
          <t>BOX_CAP_BX010_300_BX008_200</t>
        </is>
      </c>
    </row>
    <row r="136">
      <c r="A136" t="inlineStr">
        <is>
          <t>B205830</t>
        </is>
      </c>
      <c r="B136" t="inlineStr">
        <is>
          <t>테소로 딥 리도</t>
        </is>
      </c>
      <c r="C136" t="n">
        <v>19.3</v>
      </c>
      <c r="D136" t="n">
        <v>7.1</v>
      </c>
      <c r="E136" t="n">
        <v>2.9</v>
      </c>
      <c r="F136" t="n">
        <v>0.048</v>
      </c>
      <c r="H136" t="inlineStr">
        <is>
          <t>Y</t>
        </is>
      </c>
      <c r="I136" t="inlineStr">
        <is>
          <t>제품규격표.xlsx</t>
        </is>
      </c>
      <c r="M136" t="inlineStr">
        <is>
          <t>BOX_CAP_BX010_300_BX008_200</t>
        </is>
      </c>
    </row>
    <row r="137">
      <c r="A137" t="inlineStr">
        <is>
          <t>B205840</t>
        </is>
      </c>
      <c r="B137" t="inlineStr">
        <is>
          <t>테소로 파인 리도</t>
        </is>
      </c>
      <c r="C137" t="n">
        <v>19.3</v>
      </c>
      <c r="D137" t="n">
        <v>7.1</v>
      </c>
      <c r="E137" t="n">
        <v>2.9</v>
      </c>
      <c r="F137" t="n">
        <v>0.048</v>
      </c>
      <c r="H137" t="inlineStr">
        <is>
          <t>Y</t>
        </is>
      </c>
      <c r="I137" t="inlineStr">
        <is>
          <t>제품규격표.xlsx</t>
        </is>
      </c>
      <c r="M137" t="inlineStr">
        <is>
          <t>BOX_CAP_BX010_300_BX008_200</t>
        </is>
      </c>
    </row>
    <row r="138">
      <c r="A138" t="inlineStr">
        <is>
          <t>B205910</t>
        </is>
      </c>
      <c r="B138" t="inlineStr">
        <is>
          <t>테소로 서브큐 노리도</t>
        </is>
      </c>
      <c r="C138" t="n">
        <v>19.3</v>
      </c>
      <c r="D138" t="n">
        <v>7.1</v>
      </c>
      <c r="E138" t="n">
        <v>2.9</v>
      </c>
      <c r="F138" t="n">
        <v>0.048</v>
      </c>
      <c r="H138" t="inlineStr">
        <is>
          <t>Y</t>
        </is>
      </c>
      <c r="I138" t="inlineStr">
        <is>
          <t>제품규격표.xlsx</t>
        </is>
      </c>
      <c r="M138" t="inlineStr">
        <is>
          <t>BOX_CAP_BX010_300_BX008_200</t>
        </is>
      </c>
    </row>
    <row r="139">
      <c r="A139" t="inlineStr">
        <is>
          <t>B205920</t>
        </is>
      </c>
      <c r="B139" t="inlineStr">
        <is>
          <t>테소로 딥 노리도</t>
        </is>
      </c>
      <c r="C139" t="n">
        <v>19.3</v>
      </c>
      <c r="D139" t="n">
        <v>7.1</v>
      </c>
      <c r="E139" t="n">
        <v>2.9</v>
      </c>
      <c r="F139" t="n">
        <v>0.048</v>
      </c>
      <c r="H139" t="inlineStr">
        <is>
          <t>Y</t>
        </is>
      </c>
      <c r="I139" t="inlineStr">
        <is>
          <t>제품규격표.xlsx</t>
        </is>
      </c>
      <c r="M139" t="inlineStr">
        <is>
          <t>BOX_CAP_BX010_300_BX008_200</t>
        </is>
      </c>
    </row>
    <row r="140">
      <c r="A140" t="inlineStr">
        <is>
          <t>B205930</t>
        </is>
      </c>
      <c r="B140" t="inlineStr">
        <is>
          <t>테소로 파인 노리도</t>
        </is>
      </c>
      <c r="C140" t="n">
        <v>19.3</v>
      </c>
      <c r="D140" t="n">
        <v>7.1</v>
      </c>
      <c r="E140" t="n">
        <v>2.9</v>
      </c>
      <c r="F140" t="n">
        <v>0.048</v>
      </c>
      <c r="H140" t="inlineStr">
        <is>
          <t>Y</t>
        </is>
      </c>
      <c r="I140" t="inlineStr">
        <is>
          <t>제품규격표.xlsx</t>
        </is>
      </c>
      <c r="M140" t="inlineStr">
        <is>
          <t>BOX_CAP_BX010_300_BX008_200</t>
        </is>
      </c>
    </row>
    <row r="141">
      <c r="A141" t="inlineStr">
        <is>
          <t>B308070</t>
        </is>
      </c>
      <c r="B141" t="inlineStr">
        <is>
          <t>퓨리 PDRN</t>
        </is>
      </c>
      <c r="C141" t="n">
        <v>18.7</v>
      </c>
      <c r="D141" t="n">
        <v>17.3</v>
      </c>
      <c r="E141" t="n">
        <v>2.9</v>
      </c>
      <c r="F141" t="n">
        <v>0.153</v>
      </c>
      <c r="H141" t="inlineStr">
        <is>
          <t>Y</t>
        </is>
      </c>
      <c r="I141" t="inlineStr">
        <is>
          <t>제품규격표.xlsx</t>
        </is>
      </c>
    </row>
    <row r="142">
      <c r="A142" t="inlineStr">
        <is>
          <t>B206510</t>
        </is>
      </c>
      <c r="B142" t="inlineStr">
        <is>
          <t>하이알듀 올 리도 (수출용)</t>
        </is>
      </c>
      <c r="C142" t="n">
        <v>17.9</v>
      </c>
      <c r="D142" t="n">
        <v>7.9</v>
      </c>
      <c r="E142" t="n">
        <v>3.2</v>
      </c>
      <c r="F142" t="n">
        <v>0.055</v>
      </c>
      <c r="H142" t="inlineStr">
        <is>
          <t>Y</t>
        </is>
      </c>
      <c r="I142" t="inlineStr">
        <is>
          <t>제품규격표.xlsx</t>
        </is>
      </c>
    </row>
    <row r="143">
      <c r="A143" t="inlineStr">
        <is>
          <t>B206520</t>
        </is>
      </c>
      <c r="B143" t="inlineStr">
        <is>
          <t>하이알듀 미드 리도 (수출용)</t>
        </is>
      </c>
      <c r="C143" t="n">
        <v>17.9</v>
      </c>
      <c r="D143" t="n">
        <v>7.9</v>
      </c>
      <c r="E143" t="n">
        <v>3.2</v>
      </c>
      <c r="F143" t="n">
        <v>0.055</v>
      </c>
      <c r="H143" t="inlineStr">
        <is>
          <t>Y</t>
        </is>
      </c>
      <c r="I143" t="inlineStr">
        <is>
          <t>제품규격표.xlsx</t>
        </is>
      </c>
    </row>
    <row r="144">
      <c r="A144" t="inlineStr">
        <is>
          <t>B206530</t>
        </is>
      </c>
      <c r="B144" t="inlineStr">
        <is>
          <t>하이알듀 파인 리도 (수출용)</t>
        </is>
      </c>
      <c r="C144" t="n">
        <v>17.9</v>
      </c>
      <c r="D144" t="n">
        <v>7.9</v>
      </c>
      <c r="E144" t="n">
        <v>3.2</v>
      </c>
      <c r="F144" t="n">
        <v>0.055</v>
      </c>
      <c r="H144" t="inlineStr">
        <is>
          <t>Y</t>
        </is>
      </c>
      <c r="I144" t="inlineStr">
        <is>
          <t>제품규격표.xlsx</t>
        </is>
      </c>
    </row>
    <row r="145">
      <c r="A145" t="inlineStr">
        <is>
          <t>B206540</t>
        </is>
      </c>
      <c r="B145" t="inlineStr">
        <is>
          <t>하이알듀 샤인 리도 (수출용)</t>
        </is>
      </c>
      <c r="C145" t="n">
        <v>20</v>
      </c>
      <c r="D145" t="n">
        <v>7.8</v>
      </c>
      <c r="E145" t="n">
        <v>3.5</v>
      </c>
      <c r="F145" t="n">
        <v>0.062</v>
      </c>
      <c r="H145" t="inlineStr">
        <is>
          <t>Y</t>
        </is>
      </c>
      <c r="I145" t="inlineStr">
        <is>
          <t>제품규격표.xlsx</t>
        </is>
      </c>
    </row>
    <row r="146">
      <c r="A146" t="inlineStr">
        <is>
          <t>B206610</t>
        </is>
      </c>
      <c r="B146" t="inlineStr">
        <is>
          <t>하이알듀 올 노리도 (수출용)</t>
        </is>
      </c>
      <c r="C146" t="n">
        <v>17.9</v>
      </c>
      <c r="D146" t="n">
        <v>7.9</v>
      </c>
      <c r="E146" t="n">
        <v>3.2</v>
      </c>
      <c r="F146" t="n">
        <v>0.055</v>
      </c>
      <c r="H146" t="inlineStr">
        <is>
          <t>Y</t>
        </is>
      </c>
      <c r="I146" t="inlineStr">
        <is>
          <t>제품규격표.xlsx</t>
        </is>
      </c>
    </row>
    <row r="147">
      <c r="A147" t="inlineStr">
        <is>
          <t>B206620</t>
        </is>
      </c>
      <c r="B147" t="inlineStr">
        <is>
          <t>하이알듀 미드 노리도 (수출용)</t>
        </is>
      </c>
      <c r="C147" t="n">
        <v>17.9</v>
      </c>
      <c r="D147" t="n">
        <v>7.9</v>
      </c>
      <c r="E147" t="n">
        <v>3.2</v>
      </c>
      <c r="F147" t="n">
        <v>0.055</v>
      </c>
      <c r="H147" t="inlineStr">
        <is>
          <t>Y</t>
        </is>
      </c>
      <c r="I147" t="inlineStr">
        <is>
          <t>제품규격표.xlsx</t>
        </is>
      </c>
    </row>
    <row r="148">
      <c r="A148" t="inlineStr">
        <is>
          <t>B206630</t>
        </is>
      </c>
      <c r="B148" t="inlineStr">
        <is>
          <t>하이알듀 파인 노리도 (수출용)</t>
        </is>
      </c>
      <c r="C148" t="n">
        <v>17.9</v>
      </c>
      <c r="D148" t="n">
        <v>7.9</v>
      </c>
      <c r="E148" t="n">
        <v>3.2</v>
      </c>
      <c r="F148" t="n">
        <v>0.055</v>
      </c>
      <c r="H148" t="inlineStr">
        <is>
          <t>Y</t>
        </is>
      </c>
      <c r="I148" t="inlineStr">
        <is>
          <t>제품규격표.xlsx</t>
        </is>
      </c>
    </row>
    <row r="149">
      <c r="A149" t="inlineStr">
        <is>
          <t>B206640</t>
        </is>
      </c>
      <c r="B149" t="inlineStr">
        <is>
          <t>하이알듀 샤인 노리도 (수출용)</t>
        </is>
      </c>
      <c r="C149" t="n">
        <v>20</v>
      </c>
      <c r="D149" t="n">
        <v>7.8</v>
      </c>
      <c r="E149" t="n">
        <v>3.5</v>
      </c>
      <c r="F149" t="n">
        <v>0.062</v>
      </c>
      <c r="H149" t="inlineStr">
        <is>
          <t>Y</t>
        </is>
      </c>
      <c r="I149" t="inlineStr">
        <is>
          <t>제품규격표.xlsx</t>
        </is>
      </c>
    </row>
    <row r="150">
      <c r="A150" t="inlineStr">
        <is>
          <t>B206720</t>
        </is>
      </c>
      <c r="B150" t="inlineStr">
        <is>
          <t>히아필리아 클래식 (리도)</t>
        </is>
      </c>
      <c r="C150" t="n">
        <v>18.3</v>
      </c>
      <c r="D150" t="n">
        <v>6.9</v>
      </c>
      <c r="E150" t="n">
        <v>2.1</v>
      </c>
      <c r="F150" t="n">
        <v>0.039</v>
      </c>
      <c r="H150" t="inlineStr">
        <is>
          <t>Y</t>
        </is>
      </c>
      <c r="I150" t="inlineStr">
        <is>
          <t>제품규격표.xlsx</t>
        </is>
      </c>
    </row>
    <row r="151">
      <c r="A151" t="inlineStr">
        <is>
          <t>B206910</t>
        </is>
      </c>
      <c r="B151" t="inlineStr">
        <is>
          <t>히아필리아 미담 프라임 플러스</t>
        </is>
      </c>
      <c r="C151" t="n">
        <v>18.3</v>
      </c>
      <c r="D151" t="n">
        <v>6.9</v>
      </c>
      <c r="E151" t="n">
        <v>2.1</v>
      </c>
      <c r="F151" t="n">
        <v>0.039</v>
      </c>
      <c r="H151" t="inlineStr">
        <is>
          <t>Y</t>
        </is>
      </c>
      <c r="I151" t="inlineStr">
        <is>
          <t>제품규격표.xlsx</t>
        </is>
      </c>
    </row>
    <row r="152">
      <c r="A152" t="inlineStr">
        <is>
          <t>B206920</t>
        </is>
      </c>
      <c r="B152" t="inlineStr">
        <is>
          <t>히아필리아 미담 딥 플러스</t>
        </is>
      </c>
      <c r="C152" t="n">
        <v>18.3</v>
      </c>
      <c r="D152" t="n">
        <v>6.9</v>
      </c>
      <c r="E152" t="n">
        <v>2.1</v>
      </c>
      <c r="F152" t="n">
        <v>0.039</v>
      </c>
      <c r="H152" t="inlineStr">
        <is>
          <t>Y</t>
        </is>
      </c>
      <c r="I152" t="inlineStr">
        <is>
          <t>제품규격표.xlsx</t>
        </is>
      </c>
    </row>
    <row r="153">
      <c r="A153" t="inlineStr">
        <is>
          <t>B206930</t>
        </is>
      </c>
      <c r="B153" t="inlineStr">
        <is>
          <t>히아필리아 미담 라이트 플러스</t>
        </is>
      </c>
      <c r="C153" t="n">
        <v>18.3</v>
      </c>
      <c r="D153" t="n">
        <v>6.9</v>
      </c>
      <c r="E153" t="n">
        <v>2.1</v>
      </c>
      <c r="F153" t="n">
        <v>0.039</v>
      </c>
      <c r="H153" t="inlineStr">
        <is>
          <t>Y</t>
        </is>
      </c>
      <c r="I153" t="inlineStr">
        <is>
          <t>제품규격표.xlsx</t>
        </is>
      </c>
    </row>
    <row r="154">
      <c r="A154" t="inlineStr">
        <is>
          <t>B300210</t>
        </is>
      </c>
      <c r="B154" t="inlineStr">
        <is>
          <t>고우리</t>
        </is>
      </c>
      <c r="C154" t="n">
        <v>19</v>
      </c>
      <c r="D154" t="n">
        <v>7</v>
      </c>
      <c r="E154" t="n">
        <v>3</v>
      </c>
      <c r="F154" t="n">
        <v>0.066</v>
      </c>
      <c r="H154" t="inlineStr">
        <is>
          <t>Y</t>
        </is>
      </c>
      <c r="I154" t="inlineStr">
        <is>
          <t>제품규격표.xlsx</t>
        </is>
      </c>
    </row>
    <row r="155">
      <c r="A155" t="inlineStr">
        <is>
          <t>B300810</t>
        </is>
      </c>
      <c r="B155" t="inlineStr">
        <is>
          <t>닥터 리포 브이</t>
        </is>
      </c>
      <c r="C155" t="n">
        <v>17</v>
      </c>
      <c r="D155" t="n">
        <v>14.7</v>
      </c>
      <c r="E155" t="n">
        <v>3.4</v>
      </c>
      <c r="F155" t="n">
        <v>0.265</v>
      </c>
      <c r="H155" t="inlineStr">
        <is>
          <t>Y</t>
        </is>
      </c>
      <c r="I155" t="inlineStr">
        <is>
          <t>제품규격표.xlsx</t>
        </is>
      </c>
    </row>
    <row r="156">
      <c r="A156" t="inlineStr">
        <is>
          <t>B300820</t>
        </is>
      </c>
      <c r="B156" t="inlineStr">
        <is>
          <t>닥터 리포 플러스</t>
        </is>
      </c>
      <c r="C156" t="n">
        <v>17</v>
      </c>
      <c r="D156" t="n">
        <v>15.8</v>
      </c>
      <c r="E156" t="n">
        <v>3.4</v>
      </c>
      <c r="F156" t="n">
        <v>0.374</v>
      </c>
      <c r="H156" t="inlineStr">
        <is>
          <t>Y</t>
        </is>
      </c>
      <c r="I156" t="inlineStr">
        <is>
          <t>제품규격표.xlsx</t>
        </is>
      </c>
    </row>
    <row r="157">
      <c r="A157" t="inlineStr">
        <is>
          <t>B301120</t>
        </is>
      </c>
      <c r="B157" t="inlineStr">
        <is>
          <t>데네브 클래식 에스 리도</t>
        </is>
      </c>
      <c r="C157" t="n">
        <v>23.1</v>
      </c>
      <c r="D157" t="n">
        <v>7.6</v>
      </c>
      <c r="E157" t="n">
        <v>3.3</v>
      </c>
      <c r="F157" t="n">
        <v>0.07000000000000001</v>
      </c>
      <c r="H157" t="inlineStr">
        <is>
          <t>Y</t>
        </is>
      </c>
      <c r="I157" t="inlineStr">
        <is>
          <t>제품규격표.xlsx</t>
        </is>
      </c>
    </row>
    <row r="158">
      <c r="A158" t="inlineStr">
        <is>
          <t>B301210</t>
        </is>
      </c>
      <c r="B158" t="inlineStr">
        <is>
          <t>데네브 클래식 에이치 노리도</t>
        </is>
      </c>
      <c r="C158" t="n">
        <v>23.1</v>
      </c>
      <c r="D158" t="n">
        <v>7.6</v>
      </c>
      <c r="E158" t="n">
        <v>3.3</v>
      </c>
      <c r="F158" t="n">
        <v>0.07000000000000001</v>
      </c>
      <c r="H158" t="inlineStr">
        <is>
          <t>Y</t>
        </is>
      </c>
      <c r="I158" t="inlineStr">
        <is>
          <t>제품규격표.xlsx</t>
        </is>
      </c>
    </row>
    <row r="159">
      <c r="A159" t="inlineStr">
        <is>
          <t>B301220</t>
        </is>
      </c>
      <c r="B159" t="inlineStr">
        <is>
          <t>데네브 클래식 에스 노리도</t>
        </is>
      </c>
      <c r="C159" t="n">
        <v>23.1</v>
      </c>
      <c r="D159" t="n">
        <v>7.6</v>
      </c>
      <c r="E159" t="n">
        <v>3.3</v>
      </c>
      <c r="F159" t="n">
        <v>0.07000000000000001</v>
      </c>
      <c r="H159" t="inlineStr">
        <is>
          <t>Y</t>
        </is>
      </c>
      <c r="I159" t="inlineStr">
        <is>
          <t>제품규격표.xlsx</t>
        </is>
      </c>
    </row>
    <row r="160">
      <c r="A160" t="inlineStr">
        <is>
          <t>B301410</t>
        </is>
      </c>
      <c r="B160" t="inlineStr">
        <is>
          <t>라푸른 오로라 비비드</t>
        </is>
      </c>
      <c r="C160" t="n">
        <v>19.5</v>
      </c>
      <c r="D160" t="n">
        <v>9</v>
      </c>
      <c r="E160" t="n">
        <v>3.3</v>
      </c>
      <c r="F160" t="n">
        <v>0.13</v>
      </c>
      <c r="H160" t="inlineStr">
        <is>
          <t>Y</t>
        </is>
      </c>
      <c r="I160" t="inlineStr">
        <is>
          <t>제품규격표.xlsx</t>
        </is>
      </c>
    </row>
    <row r="161">
      <c r="A161" t="inlineStr">
        <is>
          <t>B301420</t>
        </is>
      </c>
      <c r="B161" t="inlineStr">
        <is>
          <t>라푸른 오로라 슈퍼</t>
        </is>
      </c>
      <c r="C161" t="n">
        <v>19.6</v>
      </c>
      <c r="D161" t="n">
        <v>7.6</v>
      </c>
      <c r="E161" t="n">
        <v>4.8</v>
      </c>
      <c r="F161" t="n">
        <v>0.104</v>
      </c>
      <c r="H161" t="inlineStr">
        <is>
          <t>Y</t>
        </is>
      </c>
      <c r="I161" t="inlineStr">
        <is>
          <t>제품규격표.xlsx</t>
        </is>
      </c>
    </row>
    <row r="162">
      <c r="A162" t="inlineStr">
        <is>
          <t>B301610</t>
        </is>
      </c>
      <c r="B162" t="inlineStr">
        <is>
          <t>쥬베룩50mg (내수용)</t>
        </is>
      </c>
      <c r="C162" t="n">
        <v>7</v>
      </c>
      <c r="D162" t="n">
        <v>3.7</v>
      </c>
      <c r="E162" t="n">
        <v>3</v>
      </c>
      <c r="F162" t="n">
        <v>0.018</v>
      </c>
      <c r="H162" t="inlineStr">
        <is>
          <t>Y</t>
        </is>
      </c>
      <c r="I162" t="inlineStr">
        <is>
          <t>제품규격표.xlsx</t>
        </is>
      </c>
    </row>
    <row r="163">
      <c r="A163" t="inlineStr">
        <is>
          <t>B301620</t>
        </is>
      </c>
      <c r="B163" t="inlineStr">
        <is>
          <t>쥬베룩 볼륨200mg (내수용)</t>
        </is>
      </c>
      <c r="C163" t="n">
        <v>7</v>
      </c>
      <c r="D163" t="n">
        <v>3.7</v>
      </c>
      <c r="E163" t="n">
        <v>3</v>
      </c>
      <c r="F163" t="n">
        <v>0.018</v>
      </c>
      <c r="H163" t="inlineStr">
        <is>
          <t>Y</t>
        </is>
      </c>
      <c r="I163" t="inlineStr">
        <is>
          <t>제품규격표.xlsx</t>
        </is>
      </c>
    </row>
    <row r="164">
      <c r="A164" t="inlineStr">
        <is>
          <t>B301910</t>
        </is>
      </c>
      <c r="B164" t="inlineStr">
        <is>
          <t>리제노뷰 아쿠아샤인</t>
        </is>
      </c>
      <c r="C164" t="n">
        <v>16.6</v>
      </c>
      <c r="D164" t="n">
        <v>7.5</v>
      </c>
      <c r="E164" t="n">
        <v>4.4</v>
      </c>
      <c r="F164" t="n">
        <v>0.095</v>
      </c>
      <c r="H164" t="inlineStr">
        <is>
          <t>Y</t>
        </is>
      </c>
      <c r="I164" t="inlineStr">
        <is>
          <t>제품규격표.xlsx</t>
        </is>
      </c>
    </row>
    <row r="165">
      <c r="A165" t="inlineStr">
        <is>
          <t>B302020</t>
        </is>
      </c>
      <c r="B165" t="inlineStr">
        <is>
          <t>리쥬란 톤업부스터</t>
        </is>
      </c>
      <c r="C165" t="n">
        <v>16</v>
      </c>
      <c r="D165" t="n">
        <v>14.1</v>
      </c>
      <c r="E165" t="n">
        <v>4.6</v>
      </c>
      <c r="F165" t="n">
        <v>0.218</v>
      </c>
      <c r="H165" t="inlineStr">
        <is>
          <t>Y</t>
        </is>
      </c>
      <c r="I165" t="inlineStr">
        <is>
          <t>제품규격표.xlsx</t>
        </is>
      </c>
    </row>
    <row r="166">
      <c r="A166" t="inlineStr">
        <is>
          <t>B302110</t>
        </is>
      </c>
      <c r="B166" t="inlineStr">
        <is>
          <t>리쥬란 힐러 (니들)</t>
        </is>
      </c>
      <c r="C166" t="n">
        <v>23.9</v>
      </c>
      <c r="D166" t="n">
        <v>8.9</v>
      </c>
      <c r="E166" t="n">
        <v>5.5</v>
      </c>
      <c r="F166" t="n">
        <v>0.13</v>
      </c>
      <c r="H166" t="inlineStr">
        <is>
          <t>Y</t>
        </is>
      </c>
      <c r="I166" t="inlineStr">
        <is>
          <t>제품규격표.xlsx</t>
        </is>
      </c>
    </row>
    <row r="167">
      <c r="A167" t="inlineStr">
        <is>
          <t>B302120</t>
        </is>
      </c>
      <c r="B167" t="inlineStr">
        <is>
          <t>리쥬란 힐러 트루스킨</t>
        </is>
      </c>
      <c r="C167" t="n">
        <v>23.9</v>
      </c>
      <c r="D167" t="n">
        <v>8.9</v>
      </c>
      <c r="E167" t="n">
        <v>5.5</v>
      </c>
      <c r="F167" t="n">
        <v>0.13</v>
      </c>
      <c r="H167" t="inlineStr">
        <is>
          <t>Y</t>
        </is>
      </c>
      <c r="I167" t="inlineStr">
        <is>
          <t>제품규격표.xlsx</t>
        </is>
      </c>
    </row>
    <row r="168">
      <c r="A168" t="inlineStr">
        <is>
          <t>B302135</t>
        </is>
      </c>
      <c r="B168" t="inlineStr">
        <is>
          <t>리쥬란 엘라스킨 (신)</t>
        </is>
      </c>
      <c r="C168" t="n">
        <v>23.9</v>
      </c>
      <c r="D168" t="n">
        <v>9</v>
      </c>
      <c r="E168" t="n">
        <v>5.6</v>
      </c>
      <c r="F168" t="n">
        <v>0.13</v>
      </c>
      <c r="H168" t="inlineStr">
        <is>
          <t>Y</t>
        </is>
      </c>
      <c r="I168" t="inlineStr">
        <is>
          <t>제품규격표.xlsx</t>
        </is>
      </c>
    </row>
    <row r="169">
      <c r="A169" t="inlineStr">
        <is>
          <t>B302210</t>
        </is>
      </c>
      <c r="B169" t="inlineStr">
        <is>
          <t>리쥬란HB</t>
        </is>
      </c>
      <c r="C169" t="n">
        <v>20.5</v>
      </c>
      <c r="D169" t="n">
        <v>8</v>
      </c>
      <c r="E169" t="n">
        <v>3</v>
      </c>
      <c r="F169" t="n">
        <v>0.041</v>
      </c>
      <c r="H169" t="inlineStr">
        <is>
          <t>Y</t>
        </is>
      </c>
      <c r="I169" t="inlineStr">
        <is>
          <t>제품규격표.xlsx</t>
        </is>
      </c>
    </row>
    <row r="170">
      <c r="A170" t="inlineStr">
        <is>
          <t>B302220</t>
        </is>
      </c>
      <c r="B170" t="inlineStr">
        <is>
          <t>리쥬란I</t>
        </is>
      </c>
      <c r="C170" t="n">
        <v>20.5</v>
      </c>
      <c r="D170" t="n">
        <v>8</v>
      </c>
      <c r="E170" t="n">
        <v>3</v>
      </c>
      <c r="F170" t="n">
        <v>0.041</v>
      </c>
      <c r="H170" t="inlineStr">
        <is>
          <t>Y</t>
        </is>
      </c>
      <c r="I170" t="inlineStr">
        <is>
          <t>제품규격표.xlsx</t>
        </is>
      </c>
    </row>
    <row r="171">
      <c r="A171" t="inlineStr">
        <is>
          <t>B302230</t>
        </is>
      </c>
      <c r="B171" t="inlineStr">
        <is>
          <t>리쥬란S</t>
        </is>
      </c>
      <c r="C171" t="n">
        <v>20.5</v>
      </c>
      <c r="D171" t="n">
        <v>8</v>
      </c>
      <c r="E171" t="n">
        <v>3</v>
      </c>
      <c r="F171" t="n">
        <v>0.041</v>
      </c>
      <c r="H171" t="inlineStr">
        <is>
          <t>Y</t>
        </is>
      </c>
      <c r="I171" t="inlineStr">
        <is>
          <t>제품규격표.xlsx</t>
        </is>
      </c>
    </row>
    <row r="172">
      <c r="A172" t="inlineStr">
        <is>
          <t>B302420</t>
        </is>
      </c>
      <c r="B172" t="inlineStr">
        <is>
          <t>리쥬란 톤업마스크 (중문)</t>
        </is>
      </c>
      <c r="C172" t="n">
        <v>17.8</v>
      </c>
      <c r="D172" t="n">
        <v>15.3</v>
      </c>
      <c r="E172" t="n">
        <v>1.8</v>
      </c>
      <c r="F172" t="n">
        <v>0.252</v>
      </c>
      <c r="H172" t="inlineStr">
        <is>
          <t>Y</t>
        </is>
      </c>
      <c r="I172" t="inlineStr">
        <is>
          <t>제품규격표.xlsx</t>
        </is>
      </c>
    </row>
    <row r="173">
      <c r="A173" t="inlineStr">
        <is>
          <t>B302421</t>
        </is>
      </c>
      <c r="B173" t="inlineStr">
        <is>
          <t>리쥬란 톤업마스크</t>
        </is>
      </c>
      <c r="C173" t="n">
        <v>17.8</v>
      </c>
      <c r="D173" t="n">
        <v>15.3</v>
      </c>
      <c r="E173" t="n">
        <v>1.8</v>
      </c>
      <c r="F173" t="n">
        <v>0.252</v>
      </c>
      <c r="H173" t="inlineStr">
        <is>
          <t>Y</t>
        </is>
      </c>
      <c r="I173" t="inlineStr">
        <is>
          <t>제품규격표.xlsx</t>
        </is>
      </c>
    </row>
    <row r="174">
      <c r="A174" t="inlineStr">
        <is>
          <t>B302430</t>
        </is>
      </c>
      <c r="B174" t="inlineStr">
        <is>
          <t>리쥬란 리커버리크림</t>
        </is>
      </c>
      <c r="C174" t="n">
        <v>14.4</v>
      </c>
      <c r="D174" t="n">
        <v>3.74</v>
      </c>
      <c r="E174" t="n">
        <v>3.2</v>
      </c>
      <c r="F174" t="n">
        <v>0.07099999999999999</v>
      </c>
      <c r="H174" t="inlineStr">
        <is>
          <t>Y</t>
        </is>
      </c>
      <c r="I174" t="inlineStr">
        <is>
          <t>제품규격표.xlsx</t>
        </is>
      </c>
    </row>
    <row r="175">
      <c r="A175" t="inlineStr">
        <is>
          <t>B302452</t>
        </is>
      </c>
      <c r="B175" t="inlineStr">
        <is>
          <t>리쥬메이트 니들 (0.9mm)</t>
        </is>
      </c>
      <c r="C175" t="n">
        <v>20.6</v>
      </c>
      <c r="D175" t="n">
        <v>14.7</v>
      </c>
      <c r="E175" t="n">
        <v>5.5</v>
      </c>
      <c r="F175" t="n">
        <v>0.272</v>
      </c>
      <c r="H175" t="inlineStr">
        <is>
          <t>Y</t>
        </is>
      </c>
      <c r="I175" t="inlineStr">
        <is>
          <t>제품규격표.xlsx</t>
        </is>
      </c>
    </row>
    <row r="176">
      <c r="A176" t="inlineStr">
        <is>
          <t>B302453</t>
        </is>
      </c>
      <c r="B176" t="inlineStr">
        <is>
          <t>리쥬메이트 대용량필터</t>
        </is>
      </c>
      <c r="C176" t="n">
        <v>10.5</v>
      </c>
      <c r="D176" t="n">
        <v>8.1</v>
      </c>
      <c r="E176" t="n">
        <v>3.4</v>
      </c>
      <c r="F176" t="n">
        <v>0.029</v>
      </c>
      <c r="H176" t="inlineStr">
        <is>
          <t>Y</t>
        </is>
      </c>
      <c r="I176" t="inlineStr">
        <is>
          <t>제품규격표.xlsx</t>
        </is>
      </c>
    </row>
    <row r="177">
      <c r="A177" t="inlineStr">
        <is>
          <t>B302454</t>
        </is>
      </c>
      <c r="B177" t="inlineStr">
        <is>
          <t>리쥬메이트 홀더/외부배기필터</t>
        </is>
      </c>
      <c r="C177" t="n">
        <v>12.1</v>
      </c>
      <c r="D177" t="n">
        <v>7.6</v>
      </c>
      <c r="E177" t="n">
        <v>5</v>
      </c>
      <c r="F177" t="n">
        <v>0.08599999999999999</v>
      </c>
      <c r="H177" t="inlineStr">
        <is>
          <t>Y</t>
        </is>
      </c>
      <c r="I177" t="inlineStr">
        <is>
          <t>제품규격표.xlsx</t>
        </is>
      </c>
    </row>
    <row r="178">
      <c r="A178" t="inlineStr">
        <is>
          <t>B302710</t>
        </is>
      </c>
      <c r="B178" t="inlineStr">
        <is>
          <t>리포라제</t>
        </is>
      </c>
      <c r="C178" t="n">
        <v>8</v>
      </c>
      <c r="D178" t="n">
        <v>3.9</v>
      </c>
      <c r="E178" t="n">
        <v>3.2</v>
      </c>
      <c r="F178" t="n">
        <v>0.061</v>
      </c>
      <c r="H178" t="inlineStr">
        <is>
          <t>Y</t>
        </is>
      </c>
      <c r="I178" t="inlineStr">
        <is>
          <t>제품규격표.xlsx</t>
        </is>
      </c>
    </row>
    <row r="179">
      <c r="A179" t="inlineStr">
        <is>
          <t>B302810</t>
        </is>
      </c>
      <c r="B179" t="inlineStr">
        <is>
          <t>리포랩 바디 (GMS)</t>
        </is>
      </c>
      <c r="C179" t="n">
        <v>18.1</v>
      </c>
      <c r="D179" t="n">
        <v>8.699999999999999</v>
      </c>
      <c r="E179" t="n">
        <v>6.7</v>
      </c>
      <c r="F179" t="n">
        <v>0.363</v>
      </c>
      <c r="H179" t="inlineStr">
        <is>
          <t>Y</t>
        </is>
      </c>
      <c r="I179" t="inlineStr">
        <is>
          <t>제품규격표.xlsx</t>
        </is>
      </c>
    </row>
    <row r="180">
      <c r="A180" t="inlineStr">
        <is>
          <t>B302910</t>
        </is>
      </c>
      <c r="B180" t="inlineStr">
        <is>
          <t>리포랩 바디 (메디허브)</t>
        </is>
      </c>
      <c r="C180" t="n">
        <v>22</v>
      </c>
      <c r="D180" t="n">
        <v>14.1</v>
      </c>
      <c r="E180" t="n">
        <v>2.7</v>
      </c>
      <c r="F180" t="n">
        <v>0.287</v>
      </c>
      <c r="H180" t="inlineStr">
        <is>
          <t>Y</t>
        </is>
      </c>
      <c r="I180" t="inlineStr">
        <is>
          <t>제품규격표.xlsx</t>
        </is>
      </c>
    </row>
    <row r="181">
      <c r="A181" t="inlineStr">
        <is>
          <t>B302920</t>
        </is>
      </c>
      <c r="B181" t="inlineStr">
        <is>
          <t>리포랩 브이라인 (메디허브)</t>
        </is>
      </c>
      <c r="C181" t="n">
        <v>18.5</v>
      </c>
      <c r="D181" t="n">
        <v>9</v>
      </c>
      <c r="E181" t="n">
        <v>5</v>
      </c>
      <c r="F181" t="n">
        <v>0.237</v>
      </c>
      <c r="H181" t="inlineStr">
        <is>
          <t>Y</t>
        </is>
      </c>
      <c r="I181" t="inlineStr">
        <is>
          <t>제품규격표.xlsx</t>
        </is>
      </c>
    </row>
    <row r="182">
      <c r="A182" t="inlineStr">
        <is>
          <t>B303110</t>
        </is>
      </c>
      <c r="B182" t="inlineStr">
        <is>
          <t>맥시필</t>
        </is>
      </c>
      <c r="C182" t="n">
        <v>14.4</v>
      </c>
      <c r="D182" t="n">
        <v>8</v>
      </c>
      <c r="E182" t="n">
        <v>6.1</v>
      </c>
      <c r="F182" t="n">
        <v>0.247</v>
      </c>
      <c r="H182" t="inlineStr">
        <is>
          <t>Y</t>
        </is>
      </c>
      <c r="I182" t="inlineStr">
        <is>
          <t>제품규격표.xlsx</t>
        </is>
      </c>
    </row>
    <row r="183">
      <c r="A183" t="inlineStr">
        <is>
          <t>B303430</t>
        </is>
      </c>
      <c r="B183" t="inlineStr">
        <is>
          <t>미라클L</t>
        </is>
      </c>
      <c r="C183" t="n">
        <v>17</v>
      </c>
      <c r="D183" t="n">
        <v>8.5</v>
      </c>
      <c r="E183" t="n">
        <v>2.7</v>
      </c>
      <c r="F183" t="n">
        <v>0.121</v>
      </c>
      <c r="H183" t="inlineStr">
        <is>
          <t>Y</t>
        </is>
      </c>
      <c r="I183" t="inlineStr">
        <is>
          <t>제품규격표.xlsx</t>
        </is>
      </c>
    </row>
    <row r="184">
      <c r="A184" t="inlineStr">
        <is>
          <t>B303620</t>
        </is>
      </c>
      <c r="B184" t="inlineStr">
        <is>
          <t>미스필 에프앤비</t>
        </is>
      </c>
      <c r="C184" t="n">
        <v>12.6</v>
      </c>
      <c r="D184" t="n">
        <v>11.2</v>
      </c>
      <c r="E184" t="n">
        <v>2.7</v>
      </c>
      <c r="F184" t="n">
        <v>0.146</v>
      </c>
      <c r="H184" t="inlineStr">
        <is>
          <t>Y</t>
        </is>
      </c>
      <c r="I184" t="inlineStr">
        <is>
          <t>제품규격표.xlsx</t>
        </is>
      </c>
    </row>
    <row r="185">
      <c r="A185" t="inlineStr">
        <is>
          <t>B303630</t>
        </is>
      </c>
      <c r="B185" t="inlineStr">
        <is>
          <t>미스필 플러스 PDRN</t>
        </is>
      </c>
      <c r="C185" t="n">
        <v>20.2</v>
      </c>
      <c r="D185" t="n">
        <v>7.8</v>
      </c>
      <c r="E185" t="n">
        <v>7.2</v>
      </c>
      <c r="F185" t="n">
        <v>0.12</v>
      </c>
      <c r="H185" t="inlineStr">
        <is>
          <t>Y</t>
        </is>
      </c>
      <c r="I185" t="inlineStr">
        <is>
          <t>제품규격표.xlsx</t>
        </is>
      </c>
    </row>
    <row r="186">
      <c r="A186" t="inlineStr">
        <is>
          <t>B303710</t>
        </is>
      </c>
      <c r="B186" t="inlineStr">
        <is>
          <t>바이리즌</t>
        </is>
      </c>
      <c r="C186" t="n">
        <v>19.5</v>
      </c>
      <c r="D186" t="n">
        <v>5.4</v>
      </c>
      <c r="E186" t="n">
        <v>7</v>
      </c>
      <c r="F186" t="n">
        <v>0.081</v>
      </c>
      <c r="H186" t="inlineStr">
        <is>
          <t>Y</t>
        </is>
      </c>
      <c r="I186" t="inlineStr">
        <is>
          <t>제품규격표.xlsx</t>
        </is>
      </c>
    </row>
    <row r="187">
      <c r="A187" t="inlineStr">
        <is>
          <t>B304020</t>
        </is>
      </c>
      <c r="B187" t="inlineStr">
        <is>
          <t>브이라인 솔 페이스</t>
        </is>
      </c>
      <c r="C187" t="n">
        <v>17.1</v>
      </c>
      <c r="D187" t="n">
        <v>8.1</v>
      </c>
      <c r="E187" t="n">
        <v>3.3</v>
      </c>
      <c r="F187" t="n">
        <v>0.148</v>
      </c>
      <c r="H187" t="inlineStr">
        <is>
          <t>Y</t>
        </is>
      </c>
      <c r="I187" t="inlineStr">
        <is>
          <t>제품규격표.xlsx</t>
        </is>
      </c>
    </row>
    <row r="188">
      <c r="A188" t="inlineStr">
        <is>
          <t>B304410</t>
        </is>
      </c>
      <c r="B188" t="inlineStr">
        <is>
          <t>비에스타 바디</t>
        </is>
      </c>
      <c r="C188" t="n">
        <v>10.2</v>
      </c>
      <c r="D188" t="n">
        <v>4.1</v>
      </c>
      <c r="E188" t="n">
        <v>4</v>
      </c>
      <c r="F188" t="n">
        <v>0.104</v>
      </c>
      <c r="H188" t="inlineStr">
        <is>
          <t>Y</t>
        </is>
      </c>
      <c r="I188" t="inlineStr">
        <is>
          <t>제품규격표.xlsx</t>
        </is>
      </c>
    </row>
    <row r="189">
      <c r="A189" t="inlineStr">
        <is>
          <t>B304540</t>
        </is>
      </c>
      <c r="B189" t="inlineStr">
        <is>
          <t>비엔메조 30-6</t>
        </is>
      </c>
      <c r="C189" t="n">
        <v>10.6</v>
      </c>
      <c r="D189" t="n">
        <v>8.699999999999999</v>
      </c>
      <c r="E189" t="n">
        <v>8.800000000000001</v>
      </c>
      <c r="F189" t="n">
        <v>0.11</v>
      </c>
      <c r="H189" t="inlineStr">
        <is>
          <t>Y</t>
        </is>
      </c>
      <c r="I189" t="inlineStr">
        <is>
          <t>제품규격표.xlsx</t>
        </is>
      </c>
    </row>
    <row r="190">
      <c r="A190" t="inlineStr">
        <is>
          <t>B304550</t>
        </is>
      </c>
      <c r="B190" t="inlineStr">
        <is>
          <t>비엔메조 31-13</t>
        </is>
      </c>
      <c r="C190" t="n">
        <v>10.6</v>
      </c>
      <c r="D190" t="n">
        <v>8.699999999999999</v>
      </c>
      <c r="E190" t="n">
        <v>8.800000000000001</v>
      </c>
      <c r="F190" t="n">
        <v>0.11</v>
      </c>
      <c r="H190" t="inlineStr">
        <is>
          <t>Y</t>
        </is>
      </c>
      <c r="I190" t="inlineStr">
        <is>
          <t>제품규격표.xlsx</t>
        </is>
      </c>
    </row>
    <row r="191">
      <c r="A191" t="inlineStr">
        <is>
          <t>B304570</t>
        </is>
      </c>
      <c r="B191" t="inlineStr">
        <is>
          <t>비엔메조 31-6</t>
        </is>
      </c>
      <c r="C191" t="n">
        <v>10.6</v>
      </c>
      <c r="D191" t="n">
        <v>8.699999999999999</v>
      </c>
      <c r="E191" t="n">
        <v>8.800000000000001</v>
      </c>
      <c r="F191" t="n">
        <v>0.11</v>
      </c>
      <c r="H191" t="inlineStr">
        <is>
          <t>Y</t>
        </is>
      </c>
      <c r="I191" t="inlineStr">
        <is>
          <t>제품규격표.xlsx</t>
        </is>
      </c>
    </row>
    <row r="192">
      <c r="A192" t="inlineStr">
        <is>
          <t>B304590</t>
        </is>
      </c>
      <c r="B192" t="inlineStr">
        <is>
          <t>비엔메조 32-6</t>
        </is>
      </c>
      <c r="C192" t="n">
        <v>10.6</v>
      </c>
      <c r="D192" t="n">
        <v>8.699999999999999</v>
      </c>
      <c r="E192" t="n">
        <v>8.800000000000001</v>
      </c>
      <c r="F192" t="n">
        <v>0.11</v>
      </c>
      <c r="H192" t="inlineStr">
        <is>
          <t>Y</t>
        </is>
      </c>
      <c r="I192" t="inlineStr">
        <is>
          <t>제품규격표.xlsx</t>
        </is>
      </c>
    </row>
    <row r="193">
      <c r="A193" t="inlineStr">
        <is>
          <t>B304600</t>
        </is>
      </c>
      <c r="B193" t="inlineStr">
        <is>
          <t>비엔메조 33-4</t>
        </is>
      </c>
      <c r="C193" t="n">
        <v>10.6</v>
      </c>
      <c r="D193" t="n">
        <v>8.699999999999999</v>
      </c>
      <c r="E193" t="n">
        <v>8.800000000000001</v>
      </c>
      <c r="F193" t="n">
        <v>0.11</v>
      </c>
      <c r="H193" t="inlineStr">
        <is>
          <t>Y</t>
        </is>
      </c>
      <c r="I193" t="inlineStr">
        <is>
          <t>제품규격표.xlsx</t>
        </is>
      </c>
    </row>
    <row r="194">
      <c r="A194" t="inlineStr">
        <is>
          <t>B304610</t>
        </is>
      </c>
      <c r="B194" t="inlineStr">
        <is>
          <t>비엔메조 34-4</t>
        </is>
      </c>
      <c r="C194" t="n">
        <v>10.6</v>
      </c>
      <c r="D194" t="n">
        <v>8.699999999999999</v>
      </c>
      <c r="E194" t="n">
        <v>8.800000000000001</v>
      </c>
      <c r="F194" t="n">
        <v>0.11</v>
      </c>
      <c r="H194" t="inlineStr">
        <is>
          <t>Y</t>
        </is>
      </c>
      <c r="I194" t="inlineStr">
        <is>
          <t>제품규격표.xlsx</t>
        </is>
      </c>
    </row>
    <row r="195">
      <c r="A195" t="inlineStr">
        <is>
          <t>B304910</t>
        </is>
      </c>
      <c r="B195" t="inlineStr">
        <is>
          <t>비즈맥스클래식 H</t>
        </is>
      </c>
      <c r="C195" t="n">
        <v>23.2</v>
      </c>
      <c r="D195" t="n">
        <v>7.5</v>
      </c>
      <c r="E195" t="n">
        <v>3.2</v>
      </c>
      <c r="F195" t="n">
        <v>0.076</v>
      </c>
      <c r="H195" t="inlineStr">
        <is>
          <t>Y</t>
        </is>
      </c>
      <c r="I195" t="inlineStr">
        <is>
          <t>제품규격표.xlsx</t>
        </is>
      </c>
    </row>
    <row r="196">
      <c r="A196" t="inlineStr">
        <is>
          <t>B305310</t>
        </is>
      </c>
      <c r="B196" t="inlineStr">
        <is>
          <t>셀로좀 아쿠아 노리도</t>
        </is>
      </c>
      <c r="C196" t="n">
        <v>19.5</v>
      </c>
      <c r="D196" t="n">
        <v>11.6</v>
      </c>
      <c r="E196" t="n">
        <v>7.4</v>
      </c>
      <c r="F196" t="n">
        <v>0.248</v>
      </c>
      <c r="H196" t="inlineStr">
        <is>
          <t>Y</t>
        </is>
      </c>
      <c r="I196" t="inlineStr">
        <is>
          <t>제품규격표.xlsx</t>
        </is>
      </c>
    </row>
    <row r="197">
      <c r="A197" t="inlineStr">
        <is>
          <t>B305430</t>
        </is>
      </c>
      <c r="B197" t="inlineStr">
        <is>
          <t>소숨 S</t>
        </is>
      </c>
      <c r="C197" t="n">
        <v>18.5</v>
      </c>
      <c r="D197" t="n">
        <v>7</v>
      </c>
      <c r="E197" t="n">
        <v>4</v>
      </c>
      <c r="F197" t="n">
        <v>0.062</v>
      </c>
      <c r="H197" t="inlineStr">
        <is>
          <t>Y</t>
        </is>
      </c>
      <c r="I197" t="inlineStr">
        <is>
          <t>제품규격표.xlsx</t>
        </is>
      </c>
    </row>
    <row r="198">
      <c r="A198" t="inlineStr">
        <is>
          <t>B305810</t>
        </is>
      </c>
      <c r="B198" t="inlineStr">
        <is>
          <t>아미아이즈</t>
        </is>
      </c>
      <c r="C198" t="n">
        <v>19.3</v>
      </c>
      <c r="D198" t="n">
        <v>7.2</v>
      </c>
      <c r="E198" t="n">
        <v>2.9</v>
      </c>
      <c r="F198" t="n">
        <v>0.045</v>
      </c>
      <c r="H198" t="inlineStr">
        <is>
          <t>Y</t>
        </is>
      </c>
      <c r="I198" t="inlineStr">
        <is>
          <t>제품규격표.xlsx</t>
        </is>
      </c>
      <c r="M198" t="inlineStr">
        <is>
          <t>BOX_CAP_BX010_300_BX008_200</t>
        </is>
      </c>
    </row>
    <row r="199">
      <c r="A199" t="inlineStr">
        <is>
          <t>B306810</t>
        </is>
      </c>
      <c r="B199" t="inlineStr">
        <is>
          <t>엘라젠 PLLA</t>
        </is>
      </c>
      <c r="C199" t="n">
        <v>24.8</v>
      </c>
      <c r="D199" t="n">
        <v>15.9</v>
      </c>
      <c r="E199" t="n">
        <v>6.3</v>
      </c>
      <c r="F199" t="n">
        <v>0.536</v>
      </c>
      <c r="H199" t="inlineStr">
        <is>
          <t>Y</t>
        </is>
      </c>
      <c r="I199" t="inlineStr">
        <is>
          <t>제품규격표.xlsx</t>
        </is>
      </c>
    </row>
    <row r="200">
      <c r="A200" t="inlineStr">
        <is>
          <t>B307010</t>
        </is>
      </c>
      <c r="B200" t="inlineStr">
        <is>
          <t>엘란쎄 M</t>
        </is>
      </c>
      <c r="C200" t="n">
        <v>22.7</v>
      </c>
      <c r="D200" t="n">
        <v>11.7</v>
      </c>
      <c r="E200" t="n">
        <v>3.8</v>
      </c>
      <c r="F200" t="n">
        <v>0.134</v>
      </c>
      <c r="H200" t="inlineStr">
        <is>
          <t>Y</t>
        </is>
      </c>
      <c r="I200" t="inlineStr">
        <is>
          <t>제품규격표.xlsx</t>
        </is>
      </c>
    </row>
    <row r="201">
      <c r="A201" t="inlineStr">
        <is>
          <t>B307020</t>
        </is>
      </c>
      <c r="B201" t="inlineStr">
        <is>
          <t>엘란쎄 S</t>
        </is>
      </c>
      <c r="C201" t="n">
        <v>22.7</v>
      </c>
      <c r="D201" t="n">
        <v>11.7</v>
      </c>
      <c r="E201" t="n">
        <v>3.8</v>
      </c>
      <c r="F201" t="n">
        <v>0.136</v>
      </c>
      <c r="H201" t="inlineStr">
        <is>
          <t>Y</t>
        </is>
      </c>
      <c r="I201" t="inlineStr">
        <is>
          <t>제품규격표.xlsx</t>
        </is>
      </c>
    </row>
    <row r="202">
      <c r="A202" t="inlineStr">
        <is>
          <t>B307310</t>
        </is>
      </c>
      <c r="B202" t="inlineStr">
        <is>
          <t>올리디아</t>
        </is>
      </c>
      <c r="C202" t="n">
        <v>6.3</v>
      </c>
      <c r="D202" t="n">
        <v>3.6</v>
      </c>
      <c r="E202" t="n">
        <v>3.5</v>
      </c>
      <c r="F202" t="n">
        <v>0.02</v>
      </c>
      <c r="H202" t="inlineStr">
        <is>
          <t>Y</t>
        </is>
      </c>
      <c r="I202" t="inlineStr">
        <is>
          <t>제품규격표.xlsx</t>
        </is>
      </c>
    </row>
    <row r="203">
      <c r="A203" t="inlineStr">
        <is>
          <t>B307710</t>
        </is>
      </c>
      <c r="B203" t="inlineStr">
        <is>
          <t>카벨라인</t>
        </is>
      </c>
      <c r="C203" t="n">
        <v>16.9</v>
      </c>
      <c r="D203" t="n">
        <v>8.300000000000001</v>
      </c>
      <c r="E203" t="n">
        <v>2.8</v>
      </c>
      <c r="F203" t="n">
        <v>0.159</v>
      </c>
      <c r="H203" t="inlineStr">
        <is>
          <t>Y</t>
        </is>
      </c>
      <c r="I203" t="inlineStr">
        <is>
          <t>제품규격표.xlsx</t>
        </is>
      </c>
    </row>
    <row r="204">
      <c r="A204" t="inlineStr">
        <is>
          <t>B307910</t>
        </is>
      </c>
      <c r="B204" t="inlineStr">
        <is>
          <t>키아라레쥬</t>
        </is>
      </c>
      <c r="C204" t="n">
        <v>20.5</v>
      </c>
      <c r="D204" t="n">
        <v>7.8</v>
      </c>
      <c r="E204" t="n">
        <v>6.8</v>
      </c>
      <c r="F204" t="n">
        <v>0.132</v>
      </c>
      <c r="H204" t="inlineStr">
        <is>
          <t>Y</t>
        </is>
      </c>
      <c r="I204" t="inlineStr">
        <is>
          <t>제품규격표.xlsx</t>
        </is>
      </c>
    </row>
    <row r="205">
      <c r="A205" t="inlineStr">
        <is>
          <t>B308011</t>
        </is>
      </c>
      <c r="B205" t="inlineStr">
        <is>
          <t>파이즈 PLA+ HA</t>
        </is>
      </c>
      <c r="C205" t="n">
        <v>7.9</v>
      </c>
      <c r="D205" t="n">
        <v>4.9</v>
      </c>
      <c r="E205" t="n">
        <v>3.3</v>
      </c>
      <c r="F205" t="n">
        <v>0.025</v>
      </c>
      <c r="H205" t="inlineStr">
        <is>
          <t>Y</t>
        </is>
      </c>
      <c r="I205" t="inlineStr">
        <is>
          <t>제품규격표.xlsx</t>
        </is>
      </c>
    </row>
    <row r="206">
      <c r="A206" t="inlineStr">
        <is>
          <t>B308085</t>
        </is>
      </c>
      <c r="B206" t="inlineStr">
        <is>
          <t>퓨리아이즈</t>
        </is>
      </c>
      <c r="C206" t="n">
        <v>18.3</v>
      </c>
      <c r="D206" t="n">
        <v>7</v>
      </c>
      <c r="E206" t="n">
        <v>2.1</v>
      </c>
      <c r="F206" t="n">
        <v>0.041</v>
      </c>
      <c r="H206" t="inlineStr">
        <is>
          <t>Y</t>
        </is>
      </c>
      <c r="I206" t="inlineStr">
        <is>
          <t>제품규격표.xlsx</t>
        </is>
      </c>
    </row>
    <row r="207">
      <c r="A207" t="inlineStr">
        <is>
          <t>B308086</t>
        </is>
      </c>
      <c r="B207" t="inlineStr">
        <is>
          <t>퓨리아이즈 프로</t>
        </is>
      </c>
      <c r="C207" t="n">
        <v>18.3</v>
      </c>
      <c r="D207" t="n">
        <v>7</v>
      </c>
      <c r="E207" t="n">
        <v>2.1</v>
      </c>
      <c r="F207" t="n">
        <v>0.041</v>
      </c>
      <c r="H207" t="inlineStr">
        <is>
          <t>Y</t>
        </is>
      </c>
      <c r="I207" t="inlineStr">
        <is>
          <t>제품규격표.xlsx</t>
        </is>
      </c>
    </row>
    <row r="208">
      <c r="A208" t="inlineStr">
        <is>
          <t>B308100</t>
        </is>
      </c>
      <c r="B208" t="inlineStr">
        <is>
          <t>퓨리 힐 글로우</t>
        </is>
      </c>
      <c r="C208" t="n">
        <v>15.1</v>
      </c>
      <c r="D208" t="n">
        <v>9.1</v>
      </c>
      <c r="E208" t="n">
        <v>4.6</v>
      </c>
      <c r="F208" t="n">
        <v>0.171</v>
      </c>
      <c r="H208" t="inlineStr">
        <is>
          <t>Y</t>
        </is>
      </c>
      <c r="I208" t="inlineStr">
        <is>
          <t>제품규격표.xlsx</t>
        </is>
      </c>
    </row>
    <row r="209">
      <c r="A209" t="inlineStr">
        <is>
          <t>B308176</t>
        </is>
      </c>
      <c r="B209" t="inlineStr">
        <is>
          <t>필러 케놀라 23*50</t>
        </is>
      </c>
      <c r="C209" t="n">
        <v>14.2</v>
      </c>
      <c r="D209" t="n">
        <v>10.6</v>
      </c>
      <c r="E209" t="n">
        <v>2.1</v>
      </c>
      <c r="F209" t="n">
        <v>0.043</v>
      </c>
      <c r="H209" t="inlineStr">
        <is>
          <t>Y</t>
        </is>
      </c>
      <c r="I209" t="inlineStr">
        <is>
          <t>제품규격표.xlsx</t>
        </is>
      </c>
    </row>
    <row r="210">
      <c r="A210" t="inlineStr">
        <is>
          <t>B308177</t>
        </is>
      </c>
      <c r="B210" t="inlineStr">
        <is>
          <t>필러 케놀라 23*70</t>
        </is>
      </c>
      <c r="C210" t="n">
        <v>14.2</v>
      </c>
      <c r="D210" t="n">
        <v>10.6</v>
      </c>
      <c r="E210" t="n">
        <v>2.1</v>
      </c>
      <c r="F210" t="n">
        <v>0.043</v>
      </c>
      <c r="H210" t="inlineStr">
        <is>
          <t>Y</t>
        </is>
      </c>
      <c r="I210" t="inlineStr">
        <is>
          <t>제품규격표.xlsx</t>
        </is>
      </c>
    </row>
    <row r="211">
      <c r="A211" t="inlineStr">
        <is>
          <t>B308180</t>
        </is>
      </c>
      <c r="B211" t="inlineStr">
        <is>
          <t>필러 케놀라 25*50</t>
        </is>
      </c>
      <c r="C211" t="n">
        <v>14.2</v>
      </c>
      <c r="D211" t="n">
        <v>10.6</v>
      </c>
      <c r="E211" t="n">
        <v>2.1</v>
      </c>
      <c r="F211" t="n">
        <v>0.043</v>
      </c>
      <c r="H211" t="inlineStr">
        <is>
          <t>Y</t>
        </is>
      </c>
      <c r="I211" t="inlineStr">
        <is>
          <t>제품규격표.xlsx</t>
        </is>
      </c>
    </row>
    <row r="212">
      <c r="A212" t="inlineStr">
        <is>
          <t>B308181</t>
        </is>
      </c>
      <c r="B212" t="inlineStr">
        <is>
          <t>필러 케놀라 25*70</t>
        </is>
      </c>
      <c r="C212" t="n">
        <v>14.2</v>
      </c>
      <c r="D212" t="n">
        <v>10.6</v>
      </c>
      <c r="E212" t="n">
        <v>2.1</v>
      </c>
      <c r="F212" t="n">
        <v>0.043</v>
      </c>
      <c r="H212" t="inlineStr">
        <is>
          <t>Y</t>
        </is>
      </c>
      <c r="I212" t="inlineStr">
        <is>
          <t>제품규격표.xlsx</t>
        </is>
      </c>
    </row>
    <row r="213">
      <c r="A213" t="inlineStr">
        <is>
          <t>B308210</t>
        </is>
      </c>
      <c r="B213" t="inlineStr">
        <is>
          <t>필소프트 케놀라 21*50</t>
        </is>
      </c>
      <c r="C213" t="n">
        <v>19.6</v>
      </c>
      <c r="D213" t="n">
        <v>14.7</v>
      </c>
      <c r="E213" t="n">
        <v>5.7</v>
      </c>
      <c r="F213" t="n">
        <v>0.105</v>
      </c>
      <c r="H213" t="inlineStr">
        <is>
          <t>Y</t>
        </is>
      </c>
      <c r="I213" t="inlineStr">
        <is>
          <t>제품규격표.xlsx</t>
        </is>
      </c>
    </row>
    <row r="214">
      <c r="A214" t="inlineStr">
        <is>
          <t>B308230</t>
        </is>
      </c>
      <c r="B214" t="inlineStr">
        <is>
          <t>필소프트 케놀라 22*70</t>
        </is>
      </c>
      <c r="C214" t="n">
        <v>19.6</v>
      </c>
      <c r="D214" t="n">
        <v>14.7</v>
      </c>
      <c r="E214" t="n">
        <v>5.7</v>
      </c>
      <c r="F214" t="n">
        <v>0.105</v>
      </c>
      <c r="H214" t="inlineStr">
        <is>
          <t>Y</t>
        </is>
      </c>
      <c r="I214" t="inlineStr">
        <is>
          <t>제품규격표.xlsx</t>
        </is>
      </c>
    </row>
    <row r="215">
      <c r="A215" t="inlineStr">
        <is>
          <t>B308240</t>
        </is>
      </c>
      <c r="B215" t="inlineStr">
        <is>
          <t>필소프트 케놀라 23*50</t>
        </is>
      </c>
      <c r="C215" t="n">
        <v>19.6</v>
      </c>
      <c r="D215" t="n">
        <v>14.7</v>
      </c>
      <c r="E215" t="n">
        <v>5.7</v>
      </c>
      <c r="F215" t="n">
        <v>0.105</v>
      </c>
      <c r="H215" t="inlineStr">
        <is>
          <t>Y</t>
        </is>
      </c>
      <c r="I215" t="inlineStr">
        <is>
          <t>제품규격표.xlsx</t>
        </is>
      </c>
    </row>
    <row r="216">
      <c r="A216" t="inlineStr">
        <is>
          <t>B308250</t>
        </is>
      </c>
      <c r="B216" t="inlineStr">
        <is>
          <t>필소프트 케놀라 25*40</t>
        </is>
      </c>
      <c r="C216" t="n">
        <v>19.6</v>
      </c>
      <c r="D216" t="n">
        <v>14.7</v>
      </c>
      <c r="E216" t="n">
        <v>5.7</v>
      </c>
      <c r="F216" t="n">
        <v>0.105</v>
      </c>
      <c r="H216" t="inlineStr">
        <is>
          <t>Y</t>
        </is>
      </c>
      <c r="I216" t="inlineStr">
        <is>
          <t>제품규격표.xlsx</t>
        </is>
      </c>
    </row>
    <row r="217">
      <c r="A217" t="inlineStr">
        <is>
          <t>B308260</t>
        </is>
      </c>
      <c r="B217" t="inlineStr">
        <is>
          <t>필소프트 케놀라 25*50</t>
        </is>
      </c>
      <c r="C217" t="n">
        <v>19.6</v>
      </c>
      <c r="D217" t="n">
        <v>14.7</v>
      </c>
      <c r="E217" t="n">
        <v>5.7</v>
      </c>
      <c r="F217" t="n">
        <v>0.105</v>
      </c>
      <c r="H217" t="inlineStr">
        <is>
          <t>Y</t>
        </is>
      </c>
      <c r="I217" t="inlineStr">
        <is>
          <t>제품규격표.xlsx</t>
        </is>
      </c>
    </row>
    <row r="218">
      <c r="A218" t="inlineStr">
        <is>
          <t>B308410</t>
        </is>
      </c>
      <c r="B218" t="inlineStr">
        <is>
          <t>한힐 HA</t>
        </is>
      </c>
      <c r="C218" t="n">
        <v>17.1</v>
      </c>
      <c r="D218" t="n">
        <v>8.1</v>
      </c>
      <c r="E218" t="n">
        <v>3.4</v>
      </c>
      <c r="F218" t="n">
        <v>0.174</v>
      </c>
      <c r="H218" t="inlineStr">
        <is>
          <t>Y</t>
        </is>
      </c>
      <c r="I218" t="inlineStr">
        <is>
          <t>제품규격표.xlsx</t>
        </is>
      </c>
    </row>
    <row r="219">
      <c r="A219" t="inlineStr">
        <is>
          <t>B308440</t>
        </is>
      </c>
      <c r="B219" t="inlineStr">
        <is>
          <t>한힐 헤어</t>
        </is>
      </c>
      <c r="C219" t="n">
        <v>17</v>
      </c>
      <c r="D219" t="n">
        <v>14.7</v>
      </c>
      <c r="E219" t="n">
        <v>3.4</v>
      </c>
      <c r="F219" t="n">
        <v>0.29</v>
      </c>
      <c r="H219" t="inlineStr">
        <is>
          <t>Y</t>
        </is>
      </c>
      <c r="I219" t="inlineStr">
        <is>
          <t>제품규격표.xlsx</t>
        </is>
      </c>
    </row>
    <row r="220">
      <c r="A220" t="inlineStr">
        <is>
          <t>B308610</t>
        </is>
      </c>
      <c r="B220" t="inlineStr">
        <is>
          <t>히아론 프리필드</t>
        </is>
      </c>
      <c r="C220" t="n">
        <v>32.5</v>
      </c>
      <c r="D220" t="n">
        <v>19.1</v>
      </c>
      <c r="E220" t="n">
        <v>2.7</v>
      </c>
      <c r="F220" t="n">
        <v>0.285</v>
      </c>
      <c r="H220" t="inlineStr">
        <is>
          <t>Y</t>
        </is>
      </c>
      <c r="I220" t="inlineStr">
        <is>
          <t>제품규격표.xlsx</t>
        </is>
      </c>
    </row>
    <row r="221">
      <c r="A221" t="inlineStr">
        <is>
          <t>B309255</t>
        </is>
      </c>
      <c r="B221" t="inlineStr">
        <is>
          <t>치옥토신주</t>
        </is>
      </c>
      <c r="C221" t="n">
        <v>11.8</v>
      </c>
      <c r="D221" t="n">
        <v>9.4</v>
      </c>
      <c r="E221" t="n">
        <v>4.6</v>
      </c>
      <c r="F221" t="n">
        <v>0.12</v>
      </c>
      <c r="H221" t="inlineStr">
        <is>
          <t>Y</t>
        </is>
      </c>
      <c r="I221" t="inlineStr">
        <is>
          <t>제품규격표.xlsx</t>
        </is>
      </c>
    </row>
    <row r="222">
      <c r="A222" t="inlineStr">
        <is>
          <t>B309405</t>
        </is>
      </c>
      <c r="B222" t="inlineStr">
        <is>
          <t>대한멸균증류수(주사용수)(20ml/50A)</t>
        </is>
      </c>
      <c r="C222" t="n">
        <v>21.3</v>
      </c>
      <c r="D222" t="n">
        <v>14.7</v>
      </c>
      <c r="E222" t="n">
        <v>10.8</v>
      </c>
      <c r="F222" t="n">
        <v>1.334</v>
      </c>
      <c r="H222" t="inlineStr">
        <is>
          <t>Y</t>
        </is>
      </c>
      <c r="I222" t="inlineStr">
        <is>
          <t>제품규격표.xlsx</t>
        </is>
      </c>
    </row>
    <row r="223">
      <c r="A223" t="inlineStr">
        <is>
          <t>B200200</t>
        </is>
      </c>
      <c r="B223" t="inlineStr">
        <is>
          <t>뉴라미스 볼륨 리도</t>
        </is>
      </c>
      <c r="C223" t="n">
        <v>17.6</v>
      </c>
      <c r="D223" t="n">
        <v>7.2</v>
      </c>
      <c r="E223" t="n">
        <v>2.2</v>
      </c>
      <c r="F223" t="n">
        <v>0.037</v>
      </c>
      <c r="H223" t="inlineStr">
        <is>
          <t>Y</t>
        </is>
      </c>
      <c r="I223" t="inlineStr">
        <is>
          <t>제품규격표.xlsx</t>
        </is>
      </c>
    </row>
    <row r="224">
      <c r="A224" t="inlineStr">
        <is>
          <t>B200201</t>
        </is>
      </c>
      <c r="B224" t="inlineStr">
        <is>
          <t>뉴라미스 딥 리도</t>
        </is>
      </c>
      <c r="C224" t="n">
        <v>17.6</v>
      </c>
      <c r="D224" t="n">
        <v>7.2</v>
      </c>
      <c r="E224" t="n">
        <v>2.2</v>
      </c>
      <c r="F224" t="n">
        <v>0.037</v>
      </c>
      <c r="H224" t="inlineStr">
        <is>
          <t>Y</t>
        </is>
      </c>
      <c r="I224" t="inlineStr">
        <is>
          <t>제품규격표.xlsx</t>
        </is>
      </c>
    </row>
    <row r="225">
      <c r="A225" t="inlineStr">
        <is>
          <t>B200202</t>
        </is>
      </c>
      <c r="B225" t="inlineStr">
        <is>
          <t>뉴라미스 리도(실버)</t>
        </is>
      </c>
      <c r="C225" t="n">
        <v>17.6</v>
      </c>
      <c r="D225" t="n">
        <v>7.2</v>
      </c>
      <c r="E225" t="n">
        <v>2.2</v>
      </c>
      <c r="F225" t="n">
        <v>0.037</v>
      </c>
      <c r="H225" t="inlineStr">
        <is>
          <t>Y</t>
        </is>
      </c>
      <c r="I225" t="inlineStr">
        <is>
          <t>제품규격표.xlsx</t>
        </is>
      </c>
    </row>
    <row r="226">
      <c r="A226" t="inlineStr">
        <is>
          <t>B200203</t>
        </is>
      </c>
      <c r="B226" t="inlineStr">
        <is>
          <t>뉴라미스 라이트 리도</t>
        </is>
      </c>
      <c r="C226" t="n">
        <v>17.6</v>
      </c>
      <c r="D226" t="n">
        <v>7.2</v>
      </c>
      <c r="E226" t="n">
        <v>2.2</v>
      </c>
      <c r="F226" t="n">
        <v>0.037</v>
      </c>
      <c r="H226" t="inlineStr">
        <is>
          <t>Y</t>
        </is>
      </c>
      <c r="I226" t="inlineStr">
        <is>
          <t>제품규격표.xlsx</t>
        </is>
      </c>
    </row>
    <row r="227">
      <c r="A227" t="inlineStr">
        <is>
          <t>B200204</t>
        </is>
      </c>
      <c r="B227" t="inlineStr">
        <is>
          <t>뉴라미스 딥 노리도</t>
        </is>
      </c>
      <c r="C227" t="n">
        <v>17.4</v>
      </c>
      <c r="D227" t="n">
        <v>6.9</v>
      </c>
      <c r="E227" t="n">
        <v>2.9</v>
      </c>
      <c r="F227" t="n">
        <v>0.039</v>
      </c>
      <c r="H227" t="inlineStr">
        <is>
          <t>Y</t>
        </is>
      </c>
      <c r="I227" t="inlineStr">
        <is>
          <t>제품규격표.xlsx</t>
        </is>
      </c>
    </row>
    <row r="228">
      <c r="A228" t="inlineStr">
        <is>
          <t>B200210</t>
        </is>
      </c>
      <c r="B228" t="inlineStr">
        <is>
          <t>뉴라미스 볼륨 리도(수출용)</t>
        </is>
      </c>
      <c r="C228" t="n">
        <v>17.6</v>
      </c>
      <c r="D228" t="n">
        <v>7.2</v>
      </c>
      <c r="E228" t="n">
        <v>2.2</v>
      </c>
      <c r="F228" t="n">
        <v>0.037</v>
      </c>
      <c r="H228" t="inlineStr">
        <is>
          <t>Y</t>
        </is>
      </c>
      <c r="I228" t="inlineStr">
        <is>
          <t>제품규격표.xlsx</t>
        </is>
      </c>
    </row>
    <row r="229">
      <c r="A229" t="inlineStr">
        <is>
          <t>B200220</t>
        </is>
      </c>
      <c r="B229" t="inlineStr">
        <is>
          <t>뉴라미스 딥 리도(수출용)</t>
        </is>
      </c>
      <c r="C229" t="n">
        <v>17.6</v>
      </c>
      <c r="D229" t="n">
        <v>7.2</v>
      </c>
      <c r="E229" t="n">
        <v>2.2</v>
      </c>
      <c r="F229" t="n">
        <v>0.037</v>
      </c>
      <c r="H229" t="inlineStr">
        <is>
          <t>Y</t>
        </is>
      </c>
      <c r="I229" t="inlineStr">
        <is>
          <t>제품규격표.xlsx</t>
        </is>
      </c>
    </row>
    <row r="230">
      <c r="A230" t="inlineStr">
        <is>
          <t>B200230</t>
        </is>
      </c>
      <c r="B230" t="inlineStr">
        <is>
          <t>뉴라미스 리도(실버)(수출용)</t>
        </is>
      </c>
      <c r="C230" t="n">
        <v>17.6</v>
      </c>
      <c r="D230" t="n">
        <v>7.2</v>
      </c>
      <c r="E230" t="n">
        <v>2.2</v>
      </c>
      <c r="F230" t="n">
        <v>0.037</v>
      </c>
      <c r="H230" t="inlineStr">
        <is>
          <t>Y</t>
        </is>
      </c>
      <c r="I230" t="inlineStr">
        <is>
          <t>제품규격표.xlsx</t>
        </is>
      </c>
    </row>
    <row r="231">
      <c r="A231" t="inlineStr">
        <is>
          <t>B200234</t>
        </is>
      </c>
      <c r="B231" t="inlineStr">
        <is>
          <t>뉴라미스 라이트 리도(수출용)</t>
        </is>
      </c>
      <c r="C231" t="n">
        <v>17.6</v>
      </c>
      <c r="D231" t="n">
        <v>7.2</v>
      </c>
      <c r="E231" t="n">
        <v>2.2</v>
      </c>
      <c r="F231" t="n">
        <v>0.037</v>
      </c>
      <c r="H231" t="inlineStr">
        <is>
          <t>Y</t>
        </is>
      </c>
      <c r="I231" t="inlineStr">
        <is>
          <t>제품규격표.xlsx</t>
        </is>
      </c>
    </row>
    <row r="232">
      <c r="A232" t="inlineStr">
        <is>
          <t>B200240</t>
        </is>
      </c>
      <c r="B232" t="inlineStr">
        <is>
          <t>뉴라미스 딥 노리도 (수출용)</t>
        </is>
      </c>
      <c r="C232" t="n">
        <v>17.4</v>
      </c>
      <c r="D232" t="n">
        <v>6.9</v>
      </c>
      <c r="E232" t="n">
        <v>2.9</v>
      </c>
      <c r="F232" t="n">
        <v>0.039</v>
      </c>
      <c r="H232" t="inlineStr">
        <is>
          <t>Y</t>
        </is>
      </c>
      <c r="I232" t="inlineStr">
        <is>
          <t>제품규격표.xlsx</t>
        </is>
      </c>
    </row>
    <row r="233">
      <c r="A233" t="inlineStr">
        <is>
          <t>B200340</t>
        </is>
      </c>
      <c r="B233" t="inlineStr">
        <is>
          <t>뉴라미스 라이트 리도(내수용)</t>
        </is>
      </c>
      <c r="C233" t="n">
        <v>17.6</v>
      </c>
      <c r="D233" t="n">
        <v>7.2</v>
      </c>
      <c r="E233" t="n">
        <v>2.2</v>
      </c>
      <c r="F233" t="n">
        <v>0.037</v>
      </c>
      <c r="H233" t="inlineStr">
        <is>
          <t>Y</t>
        </is>
      </c>
      <c r="I233" t="inlineStr">
        <is>
          <t>제품규격표.xlsx</t>
        </is>
      </c>
    </row>
    <row r="234">
      <c r="A234" t="inlineStr">
        <is>
          <t>B200350</t>
        </is>
      </c>
      <c r="B234" t="inlineStr">
        <is>
          <t>뉴라미스 딥 노리도(내수용)</t>
        </is>
      </c>
      <c r="C234" t="n">
        <v>17.4</v>
      </c>
      <c r="D234" t="n">
        <v>6.9</v>
      </c>
      <c r="E234" t="n">
        <v>2.9</v>
      </c>
      <c r="F234" t="n">
        <v>0.039</v>
      </c>
      <c r="H234" t="inlineStr">
        <is>
          <t>Y</t>
        </is>
      </c>
      <c r="I234" t="inlineStr">
        <is>
          <t>제품규격표.xlsx</t>
        </is>
      </c>
    </row>
    <row r="235">
      <c r="A235" s="11" t="inlineStr">
        <is>
          <t>B204720</t>
        </is>
      </c>
      <c r="B235" s="11" t="inlineStr">
        <is>
          <t>엘라스티 D 플러스(1syr)</t>
        </is>
      </c>
      <c r="C235" s="35" t="n">
        <v>19.6</v>
      </c>
      <c r="D235" s="35" t="n">
        <v>7.6</v>
      </c>
      <c r="E235" s="35" t="n">
        <v>2.8</v>
      </c>
      <c r="F235" s="35" t="n">
        <v>0.08</v>
      </c>
      <c r="G235" s="11" t="inlineStr">
        <is>
          <t>ELASTY</t>
        </is>
      </c>
      <c r="H235" s="16" t="inlineStr">
        <is>
          <t>Y</t>
        </is>
      </c>
      <c r="I235" s="11" t="inlineStr">
        <is>
          <t>제품규격표.xlsx</t>
        </is>
      </c>
      <c r="J235" s="11">
        <f>IF(COUNTIF(packages_master!$A:$A,A233)&gt;0,"Y","N")</f>
        <v/>
      </c>
      <c r="K235" s="11">
        <f>IF(G233&lt;&gt;"","BX010","")</f>
        <v/>
      </c>
      <c r="L235" s="11">
        <f>IF(G233&lt;&gt;"",300,"")</f>
        <v/>
      </c>
      <c r="M235" s="11" t="inlineStr">
        <is>
          <t>BOX_CAP_BX010_300_BX008_200</t>
        </is>
      </c>
      <c r="N235" s="11">
        <f>IF(J233="Y","packages_master","")</f>
        <v/>
      </c>
      <c r="O235" s="17" t="n"/>
      <c r="P235" s="17" t="n"/>
      <c r="Q235" s="17" t="n"/>
      <c r="R235" s="17" t="inlineStr">
        <is>
          <t>N</t>
        </is>
      </c>
      <c r="S235" s="17" t="n"/>
    </row>
    <row r="236">
      <c r="A236" s="11" t="inlineStr">
        <is>
          <t>A200662</t>
        </is>
      </c>
      <c r="B236" s="11" t="inlineStr">
        <is>
          <t>원필 울트라 리도 (R)</t>
        </is>
      </c>
      <c r="C236" s="35" t="n">
        <v>19.3</v>
      </c>
      <c r="D236" s="35" t="n">
        <v>7.4</v>
      </c>
      <c r="E236" s="35" t="n">
        <v>2.9</v>
      </c>
      <c r="F236" s="35" t="n">
        <v>0.051</v>
      </c>
      <c r="G236" s="11" t="n"/>
      <c r="H236" s="16" t="inlineStr">
        <is>
          <t>Y</t>
        </is>
      </c>
      <c r="I236" s="11" t="inlineStr">
        <is>
          <t>제품규격표.xlsx</t>
        </is>
      </c>
      <c r="J236" s="11">
        <f>IF(COUNTIF(packages_master!$A:$A,A312)&gt;0,"Y","N")</f>
        <v/>
      </c>
      <c r="K236" s="11">
        <f>IF(G312&lt;&gt;"","BX010","")</f>
        <v/>
      </c>
      <c r="L236" s="11">
        <f>IF(G312&lt;&gt;"",300,"")</f>
        <v/>
      </c>
      <c r="M236" s="11" t="inlineStr">
        <is>
          <t>BOX_CAP_BX010_300_BX008_200</t>
        </is>
      </c>
      <c r="N236" s="11">
        <f>IF(J312="Y","packages_master","")</f>
        <v/>
      </c>
      <c r="O236" s="17" t="n">
        <v>100</v>
      </c>
      <c r="P236" s="17" t="inlineStr">
        <is>
          <t>FBX038</t>
        </is>
      </c>
      <c r="Q236" s="17" t="inlineStr">
        <is>
          <t>완박스 45.5x37x32.5</t>
        </is>
      </c>
      <c r="R236" s="17" t="inlineStr">
        <is>
          <t>Y</t>
        </is>
      </c>
      <c r="S236" s="17" t="inlineStr">
        <is>
          <t>FBG021</t>
        </is>
      </c>
    </row>
    <row r="237">
      <c r="A237" s="11" t="inlineStr">
        <is>
          <t>A200664</t>
        </is>
      </c>
      <c r="B237" s="11" t="inlineStr">
        <is>
          <t>원필 서브큐 리도 (R)</t>
        </is>
      </c>
      <c r="C237" s="35" t="n">
        <v>19.3</v>
      </c>
      <c r="D237" s="35" t="n">
        <v>7.4</v>
      </c>
      <c r="E237" s="35" t="n">
        <v>2.9</v>
      </c>
      <c r="F237" s="35" t="n">
        <v>0.051</v>
      </c>
      <c r="G237" s="11" t="n"/>
      <c r="H237" s="16" t="inlineStr">
        <is>
          <t>Y</t>
        </is>
      </c>
      <c r="I237" s="11" t="inlineStr">
        <is>
          <t>제품규격표.xlsx</t>
        </is>
      </c>
      <c r="J237" s="11">
        <f>IF(COUNTIF(packages_master!$A:$A,A313)&gt;0,"Y","N")</f>
        <v/>
      </c>
      <c r="K237" s="11">
        <f>IF(G313&lt;&gt;"","BX010","")</f>
        <v/>
      </c>
      <c r="L237" s="11">
        <f>IF(G313&lt;&gt;"",300,"")</f>
        <v/>
      </c>
      <c r="M237" s="11" t="inlineStr">
        <is>
          <t>BOX_CAP_BX010_300_BX008_200</t>
        </is>
      </c>
      <c r="N237" s="11">
        <f>IF(J313="Y","packages_master","")</f>
        <v/>
      </c>
      <c r="O237" s="17" t="n">
        <v>100</v>
      </c>
      <c r="P237" s="17" t="inlineStr">
        <is>
          <t>FBX038</t>
        </is>
      </c>
      <c r="Q237" s="17" t="inlineStr">
        <is>
          <t>완박스 45.5x37x32.5</t>
        </is>
      </c>
      <c r="R237" s="17" t="inlineStr">
        <is>
          <t>Y</t>
        </is>
      </c>
      <c r="S237" s="17" t="inlineStr">
        <is>
          <t>FBG021</t>
        </is>
      </c>
    </row>
    <row r="238">
      <c r="A238" s="11" t="inlineStr">
        <is>
          <t>A200666</t>
        </is>
      </c>
      <c r="B238" s="11" t="inlineStr">
        <is>
          <t>원필 딥 리도 (R)</t>
        </is>
      </c>
      <c r="C238" s="35" t="n">
        <v>19.3</v>
      </c>
      <c r="D238" s="35" t="n">
        <v>7.4</v>
      </c>
      <c r="E238" s="35" t="n">
        <v>2.9</v>
      </c>
      <c r="F238" s="35" t="n">
        <v>0.051</v>
      </c>
      <c r="G238" s="11" t="n"/>
      <c r="H238" s="16" t="inlineStr">
        <is>
          <t>Y</t>
        </is>
      </c>
      <c r="I238" s="11" t="inlineStr">
        <is>
          <t>제품규격표.xlsx</t>
        </is>
      </c>
      <c r="J238" s="11">
        <f>IF(COUNTIF(packages_master!$A:$A,A314)&gt;0,"Y","N")</f>
        <v/>
      </c>
      <c r="K238" s="11">
        <f>IF(G314&lt;&gt;"","BX010","")</f>
        <v/>
      </c>
      <c r="L238" s="11">
        <f>IF(G314&lt;&gt;"",300,"")</f>
        <v/>
      </c>
      <c r="M238" s="11" t="inlineStr">
        <is>
          <t>BOX_CAP_BX010_300_BX008_200</t>
        </is>
      </c>
      <c r="N238" s="11">
        <f>IF(J314="Y","packages_master","")</f>
        <v/>
      </c>
      <c r="O238" s="17" t="n">
        <v>100</v>
      </c>
      <c r="P238" s="17" t="inlineStr">
        <is>
          <t>FBX038</t>
        </is>
      </c>
      <c r="Q238" s="17" t="inlineStr">
        <is>
          <t>완박스 45.5x37x32.5</t>
        </is>
      </c>
      <c r="R238" s="17" t="inlineStr">
        <is>
          <t>Y</t>
        </is>
      </c>
      <c r="S238" s="17" t="inlineStr">
        <is>
          <t>FBG021</t>
        </is>
      </c>
    </row>
    <row r="239">
      <c r="A239" s="11" t="inlineStr">
        <is>
          <t>A200668</t>
        </is>
      </c>
      <c r="B239" s="11" t="inlineStr">
        <is>
          <t>원필 클래식 리도 (R)</t>
        </is>
      </c>
      <c r="C239" s="35" t="n">
        <v>19.3</v>
      </c>
      <c r="D239" s="35" t="n">
        <v>7.4</v>
      </c>
      <c r="E239" s="35" t="n">
        <v>2.9</v>
      </c>
      <c r="F239" s="35" t="n">
        <v>0.051</v>
      </c>
      <c r="G239" s="11" t="n"/>
      <c r="H239" s="16" t="inlineStr">
        <is>
          <t>Y</t>
        </is>
      </c>
      <c r="I239" s="11" t="inlineStr">
        <is>
          <t>제품규격표.xlsx</t>
        </is>
      </c>
      <c r="J239" s="11">
        <f>IF(COUNTIF(packages_master!$A:$A,A315)&gt;0,"Y","N")</f>
        <v/>
      </c>
      <c r="K239" s="11">
        <f>IF(G315&lt;&gt;"","BX010","")</f>
        <v/>
      </c>
      <c r="L239" s="11">
        <f>IF(G315&lt;&gt;"",300,"")</f>
        <v/>
      </c>
      <c r="M239" s="11" t="inlineStr">
        <is>
          <t>BOX_CAP_BX010_300_BX008_200</t>
        </is>
      </c>
      <c r="N239" s="11">
        <f>IF(J315="Y","packages_master","")</f>
        <v/>
      </c>
      <c r="O239" s="17" t="n">
        <v>100</v>
      </c>
      <c r="P239" s="17" t="inlineStr">
        <is>
          <t>FBX038</t>
        </is>
      </c>
      <c r="Q239" s="17" t="inlineStr">
        <is>
          <t>완박스 45.5x37x32.5</t>
        </is>
      </c>
      <c r="R239" s="17" t="inlineStr">
        <is>
          <t>Y</t>
        </is>
      </c>
      <c r="S239" s="17" t="inlineStr">
        <is>
          <t>FBG021</t>
        </is>
      </c>
    </row>
    <row r="240">
      <c r="A240" s="11" t="inlineStr">
        <is>
          <t>A100110</t>
        </is>
      </c>
      <c r="B240" s="11" t="inlineStr">
        <is>
          <t>레드톡스100u</t>
        </is>
      </c>
      <c r="C240" s="35" t="n">
        <v>7.1</v>
      </c>
      <c r="D240" s="35" t="n">
        <v>4.9</v>
      </c>
      <c r="E240" s="35" t="n">
        <v>3.7</v>
      </c>
      <c r="F240" s="35" t="n">
        <v>0.025</v>
      </c>
      <c r="G240" s="11" t="n"/>
      <c r="H240" s="16" t="inlineStr">
        <is>
          <t>Y</t>
        </is>
      </c>
      <c r="I240" s="11" t="inlineStr">
        <is>
          <t>Products.xlsx</t>
        </is>
      </c>
      <c r="J240" s="11" t="n"/>
      <c r="K240" s="11" t="n"/>
      <c r="L240" s="11" t="n"/>
      <c r="M240" s="11" t="n"/>
      <c r="N240" s="11" t="n"/>
      <c r="O240" s="17" t="n"/>
      <c r="P240" s="17" t="n"/>
      <c r="Q240" s="17" t="n"/>
      <c r="R240" s="17" t="n"/>
      <c r="S240" s="17" t="n"/>
    </row>
    <row r="241">
      <c r="A241" s="11" t="inlineStr">
        <is>
          <t>A100120</t>
        </is>
      </c>
      <c r="B241" s="11" t="inlineStr">
        <is>
          <t>레드톡스200u</t>
        </is>
      </c>
      <c r="C241" s="35" t="n">
        <v>7.1</v>
      </c>
      <c r="D241" s="35" t="n">
        <v>4.9</v>
      </c>
      <c r="E241" s="35" t="n">
        <v>3.7</v>
      </c>
      <c r="F241" s="35" t="n">
        <v>0.025</v>
      </c>
      <c r="G241" s="11" t="n"/>
      <c r="H241" s="16" t="inlineStr">
        <is>
          <t>Y</t>
        </is>
      </c>
      <c r="I241" s="11" t="inlineStr">
        <is>
          <t>Products.xlsx</t>
        </is>
      </c>
      <c r="J241" s="11" t="n"/>
      <c r="K241" s="11" t="n"/>
      <c r="L241" s="11" t="n"/>
      <c r="M241" s="11" t="n"/>
      <c r="N241" s="11" t="n"/>
      <c r="O241" s="17" t="n"/>
      <c r="P241" s="17" t="n"/>
      <c r="Q241" s="17" t="n"/>
      <c r="R241" s="17" t="n"/>
      <c r="S241" s="17" t="n"/>
    </row>
    <row r="242">
      <c r="A242" s="11" t="inlineStr">
        <is>
          <t>A100310</t>
        </is>
      </c>
      <c r="B242" s="11" t="inlineStr">
        <is>
          <t>원톡스100U</t>
        </is>
      </c>
      <c r="C242" s="35" t="n">
        <v>7.1</v>
      </c>
      <c r="D242" s="35" t="n">
        <v>4.9</v>
      </c>
      <c r="E242" s="35" t="n">
        <v>3.7</v>
      </c>
      <c r="F242" s="35" t="n">
        <v>0.025</v>
      </c>
      <c r="G242" s="11" t="n"/>
      <c r="H242" s="16" t="inlineStr">
        <is>
          <t>Y</t>
        </is>
      </c>
      <c r="I242" s="11" t="inlineStr">
        <is>
          <t>Products.xlsx</t>
        </is>
      </c>
      <c r="J242" s="11" t="n"/>
      <c r="K242" s="11" t="n"/>
      <c r="L242" s="11" t="n"/>
      <c r="M242" s="11" t="n"/>
      <c r="N242" s="11" t="n"/>
      <c r="O242" s="17" t="n"/>
      <c r="P242" s="17" t="n"/>
      <c r="Q242" s="17" t="n"/>
      <c r="R242" s="17" t="n"/>
      <c r="S242" s="17" t="n"/>
    </row>
    <row r="243">
      <c r="A243" s="11" t="inlineStr">
        <is>
          <t>A100320</t>
        </is>
      </c>
      <c r="B243" s="11" t="inlineStr">
        <is>
          <t>원톡스200U</t>
        </is>
      </c>
      <c r="C243" s="35" t="n">
        <v>7.1</v>
      </c>
      <c r="D243" s="35" t="n">
        <v>4.9</v>
      </c>
      <c r="E243" s="35" t="n">
        <v>3.7</v>
      </c>
      <c r="F243" s="35" t="n">
        <v>0.025</v>
      </c>
      <c r="G243" s="11" t="n"/>
      <c r="H243" s="16" t="inlineStr">
        <is>
          <t>Y</t>
        </is>
      </c>
      <c r="I243" s="11" t="inlineStr">
        <is>
          <t>Products.xlsx</t>
        </is>
      </c>
      <c r="J243" s="11" t="n"/>
      <c r="K243" s="11" t="n"/>
      <c r="L243" s="11" t="n"/>
      <c r="M243" s="11" t="n"/>
      <c r="N243" s="11" t="n"/>
      <c r="O243" s="17" t="n"/>
      <c r="P243" s="17" t="n"/>
      <c r="Q243" s="17" t="n"/>
      <c r="R243" s="17" t="n"/>
      <c r="S243" s="17" t="n"/>
    </row>
    <row r="244">
      <c r="A244" s="11" t="inlineStr">
        <is>
          <t>A100410</t>
        </is>
      </c>
      <c r="B244" s="11" t="inlineStr">
        <is>
          <t>독스100u</t>
        </is>
      </c>
      <c r="C244" s="35" t="n">
        <v>7.1</v>
      </c>
      <c r="D244" s="35" t="n">
        <v>4.9</v>
      </c>
      <c r="E244" s="35" t="n">
        <v>3.7</v>
      </c>
      <c r="F244" s="35" t="n">
        <v>0.025</v>
      </c>
      <c r="G244" s="11" t="n"/>
      <c r="H244" s="16" t="inlineStr">
        <is>
          <t>Y</t>
        </is>
      </c>
      <c r="I244" s="11" t="inlineStr">
        <is>
          <t>Products.xlsx</t>
        </is>
      </c>
      <c r="J244" s="11" t="n"/>
      <c r="K244" s="11" t="n"/>
      <c r="L244" s="11" t="n"/>
      <c r="M244" s="11" t="n"/>
      <c r="N244" s="11" t="n"/>
      <c r="O244" s="17" t="n"/>
      <c r="P244" s="17" t="n"/>
      <c r="Q244" s="17" t="n"/>
      <c r="R244" s="17" t="n"/>
      <c r="S244" s="17" t="n"/>
    </row>
    <row r="245">
      <c r="A245" s="11" t="inlineStr">
        <is>
          <t>A100510</t>
        </is>
      </c>
      <c r="B245" s="11" t="inlineStr">
        <is>
          <t>리체스 TX100</t>
        </is>
      </c>
      <c r="C245" s="35" t="n">
        <v>7.1</v>
      </c>
      <c r="D245" s="35" t="n">
        <v>4.9</v>
      </c>
      <c r="E245" s="35" t="n">
        <v>3.7</v>
      </c>
      <c r="F245" s="35" t="n">
        <v>0.025</v>
      </c>
      <c r="G245" s="11" t="n"/>
      <c r="H245" s="16" t="inlineStr">
        <is>
          <t>Y</t>
        </is>
      </c>
      <c r="I245" s="11" t="inlineStr">
        <is>
          <t>Products.xlsx</t>
        </is>
      </c>
      <c r="J245" s="11" t="n"/>
      <c r="K245" s="11" t="n"/>
      <c r="L245" s="11" t="n"/>
      <c r="M245" s="11" t="n"/>
      <c r="N245" s="11" t="n"/>
      <c r="O245" s="17" t="n"/>
      <c r="P245" s="17" t="n"/>
      <c r="Q245" s="17" t="n"/>
      <c r="R245" s="17" t="n"/>
      <c r="S245" s="17" t="n"/>
    </row>
    <row r="246">
      <c r="A246" s="11" t="inlineStr">
        <is>
          <t>A100520</t>
        </is>
      </c>
      <c r="B246" s="11" t="inlineStr">
        <is>
          <t>리체스 TX200</t>
        </is>
      </c>
      <c r="C246" s="35" t="n">
        <v>7.1</v>
      </c>
      <c r="D246" s="35" t="n">
        <v>4.9</v>
      </c>
      <c r="E246" s="35" t="n">
        <v>3.7</v>
      </c>
      <c r="F246" s="35" t="n">
        <v>0.025</v>
      </c>
      <c r="G246" s="11" t="n"/>
      <c r="H246" s="16" t="inlineStr">
        <is>
          <t>Y</t>
        </is>
      </c>
      <c r="I246" s="11" t="inlineStr">
        <is>
          <t>Products.xlsx</t>
        </is>
      </c>
      <c r="J246" s="11" t="n"/>
      <c r="K246" s="11" t="n"/>
      <c r="L246" s="11" t="n"/>
      <c r="M246" s="11" t="n"/>
      <c r="N246" s="11" t="n"/>
      <c r="O246" s="17" t="n"/>
      <c r="P246" s="17" t="n"/>
      <c r="Q246" s="17" t="n"/>
      <c r="R246" s="17" t="n"/>
      <c r="S246" s="17" t="n"/>
    </row>
    <row r="247">
      <c r="A247" s="11" t="inlineStr">
        <is>
          <t>A200155</t>
        </is>
      </c>
      <c r="B247" s="11" t="inlineStr">
        <is>
          <t>드메이#0 Hydra Solution</t>
        </is>
      </c>
      <c r="C247" s="35" t="n">
        <v>19.3</v>
      </c>
      <c r="D247" s="35" t="n">
        <v>7.4</v>
      </c>
      <c r="E247" s="35" t="n">
        <v>5.1</v>
      </c>
      <c r="F247" s="35" t="n">
        <v>0.08599999999999999</v>
      </c>
      <c r="G247" s="11" t="n"/>
      <c r="H247" s="16" t="inlineStr">
        <is>
          <t>Y</t>
        </is>
      </c>
      <c r="I247" s="11" t="inlineStr">
        <is>
          <t>Products.xlsx</t>
        </is>
      </c>
      <c r="J247" s="11" t="n"/>
      <c r="K247" s="11" t="n"/>
      <c r="L247" s="11" t="n"/>
      <c r="M247" s="11" t="n"/>
      <c r="N247" s="11" t="n"/>
      <c r="O247" s="17" t="n"/>
      <c r="P247" s="17" t="n"/>
      <c r="Q247" s="17" t="n"/>
      <c r="R247" s="17" t="n"/>
      <c r="S247" s="17" t="n"/>
    </row>
    <row r="248">
      <c r="A248" s="11" t="inlineStr">
        <is>
          <t>A200400</t>
        </is>
      </c>
      <c r="B248" s="11" t="inlineStr">
        <is>
          <t>리체스 프로</t>
        </is>
      </c>
      <c r="C248" s="35" t="n">
        <v>19.3</v>
      </c>
      <c r="D248" s="35" t="n">
        <v>7.3</v>
      </c>
      <c r="E248" s="35" t="n">
        <v>2.8</v>
      </c>
      <c r="F248" s="35" t="n">
        <v>0.051</v>
      </c>
      <c r="G248" s="11" t="n"/>
      <c r="H248" s="16" t="inlineStr">
        <is>
          <t>Y</t>
        </is>
      </c>
      <c r="I248" s="11" t="inlineStr">
        <is>
          <t>Products.xlsx</t>
        </is>
      </c>
      <c r="J248" s="11" t="n"/>
      <c r="K248" s="11" t="n"/>
      <c r="L248" s="11" t="n"/>
      <c r="M248" s="11" t="inlineStr">
        <is>
          <t>BOX_CAP_BX010_300_BX008_200</t>
        </is>
      </c>
      <c r="N248" s="11" t="n"/>
      <c r="O248" s="17" t="n"/>
      <c r="P248" s="17" t="n"/>
      <c r="Q248" s="17" t="n"/>
      <c r="R248" s="17" t="n"/>
      <c r="S248" s="17" t="n"/>
    </row>
    <row r="249">
      <c r="A249" s="11" t="inlineStr">
        <is>
          <t>A200401</t>
        </is>
      </c>
      <c r="B249" s="11" t="inlineStr">
        <is>
          <t>리체스 미드</t>
        </is>
      </c>
      <c r="C249" s="35" t="n">
        <v>19.3</v>
      </c>
      <c r="D249" s="35" t="n">
        <v>7.3</v>
      </c>
      <c r="E249" s="35" t="n">
        <v>2.8</v>
      </c>
      <c r="F249" s="35" t="n">
        <v>0.051</v>
      </c>
      <c r="G249" s="11" t="n"/>
      <c r="H249" s="16" t="inlineStr">
        <is>
          <t>Y</t>
        </is>
      </c>
      <c r="I249" s="11" t="inlineStr">
        <is>
          <t>Products.xlsx</t>
        </is>
      </c>
      <c r="J249" s="11" t="n"/>
      <c r="K249" s="11" t="n"/>
      <c r="L249" s="11" t="n"/>
      <c r="M249" s="11" t="inlineStr">
        <is>
          <t>BOX_CAP_BX010_300_BX008_200</t>
        </is>
      </c>
      <c r="N249" s="11" t="n"/>
      <c r="O249" s="17" t="n"/>
      <c r="P249" s="17" t="n"/>
      <c r="Q249" s="17" t="n"/>
      <c r="R249" s="17" t="n"/>
      <c r="S249" s="17" t="n"/>
    </row>
    <row r="250">
      <c r="A250" s="11" t="inlineStr">
        <is>
          <t>A200402</t>
        </is>
      </c>
      <c r="B250" s="11" t="inlineStr">
        <is>
          <t>리체스 라이트</t>
        </is>
      </c>
      <c r="C250" s="35" t="n">
        <v>19.3</v>
      </c>
      <c r="D250" s="35" t="n">
        <v>7.3</v>
      </c>
      <c r="E250" s="35" t="n">
        <v>2.8</v>
      </c>
      <c r="F250" s="35" t="n">
        <v>0.051</v>
      </c>
      <c r="G250" s="11" t="n"/>
      <c r="H250" s="16" t="inlineStr">
        <is>
          <t>Y</t>
        </is>
      </c>
      <c r="I250" s="11" t="inlineStr">
        <is>
          <t>Products.xlsx</t>
        </is>
      </c>
      <c r="J250" s="11" t="n"/>
      <c r="K250" s="11" t="n"/>
      <c r="L250" s="11" t="n"/>
      <c r="M250" s="11" t="inlineStr">
        <is>
          <t>BOX_CAP_BX010_300_BX008_200</t>
        </is>
      </c>
      <c r="N250" s="11" t="n"/>
      <c r="O250" s="17" t="n"/>
      <c r="P250" s="17" t="n"/>
      <c r="Q250" s="17" t="n"/>
      <c r="R250" s="17" t="n"/>
      <c r="S250" s="17" t="n"/>
    </row>
    <row r="251">
      <c r="A251" s="11" t="inlineStr">
        <is>
          <t>A200440</t>
        </is>
      </c>
      <c r="B251" s="11" t="inlineStr">
        <is>
          <t>리체스 임플란트 리도(C)</t>
        </is>
      </c>
      <c r="C251" s="35" t="n">
        <v>19.3</v>
      </c>
      <c r="D251" s="35" t="n">
        <v>7.3</v>
      </c>
      <c r="E251" s="35" t="n">
        <v>2.8</v>
      </c>
      <c r="F251" s="35" t="n">
        <v>0.051</v>
      </c>
      <c r="G251" s="11" t="n"/>
      <c r="H251" s="16" t="inlineStr">
        <is>
          <t>Y</t>
        </is>
      </c>
      <c r="I251" s="11" t="inlineStr">
        <is>
          <t>Products.xlsx</t>
        </is>
      </c>
      <c r="J251" s="11" t="n"/>
      <c r="K251" s="11" t="n"/>
      <c r="L251" s="11" t="n"/>
      <c r="M251" s="11" t="inlineStr">
        <is>
          <t>BOX_CAP_BX010_300_BX008_200</t>
        </is>
      </c>
      <c r="N251" s="11" t="n"/>
      <c r="O251" s="17" t="n"/>
      <c r="P251" s="17" t="n"/>
      <c r="Q251" s="17" t="n"/>
      <c r="R251" s="17" t="n"/>
      <c r="S251" s="17" t="n"/>
    </row>
    <row r="252">
      <c r="A252" s="11" t="inlineStr">
        <is>
          <t>A200450</t>
        </is>
      </c>
      <c r="B252" s="11" t="inlineStr">
        <is>
          <t>리체스 소프트 리도(C)</t>
        </is>
      </c>
      <c r="C252" s="35" t="n">
        <v>19.3</v>
      </c>
      <c r="D252" s="35" t="n">
        <v>7.3</v>
      </c>
      <c r="E252" s="35" t="n">
        <v>2.8</v>
      </c>
      <c r="F252" s="35" t="n">
        <v>0.051</v>
      </c>
      <c r="G252" s="11" t="n"/>
      <c r="H252" s="16" t="inlineStr">
        <is>
          <t>Y</t>
        </is>
      </c>
      <c r="I252" s="11" t="inlineStr">
        <is>
          <t>Products.xlsx</t>
        </is>
      </c>
      <c r="J252" s="11" t="n"/>
      <c r="K252" s="11" t="n"/>
      <c r="L252" s="11" t="n"/>
      <c r="M252" s="11" t="inlineStr">
        <is>
          <t>BOX_CAP_BX010_300_BX008_200</t>
        </is>
      </c>
      <c r="N252" s="11" t="n"/>
      <c r="O252" s="17" t="n"/>
      <c r="P252" s="17" t="n"/>
      <c r="Q252" s="17" t="n"/>
      <c r="R252" s="17" t="n"/>
      <c r="S252" s="17" t="n"/>
    </row>
    <row r="253">
      <c r="A253" s="11" t="inlineStr">
        <is>
          <t>A200460</t>
        </is>
      </c>
      <c r="B253" s="11" t="inlineStr">
        <is>
          <t>리체스 딥 리도(C)</t>
        </is>
      </c>
      <c r="C253" s="35" t="n">
        <v>19.3</v>
      </c>
      <c r="D253" s="35" t="n">
        <v>7.3</v>
      </c>
      <c r="E253" s="35" t="n">
        <v>2.8</v>
      </c>
      <c r="F253" s="35" t="n">
        <v>0.051</v>
      </c>
      <c r="G253" s="11" t="n"/>
      <c r="H253" s="16" t="inlineStr">
        <is>
          <t>Y</t>
        </is>
      </c>
      <c r="I253" s="11" t="inlineStr">
        <is>
          <t>Products.xlsx</t>
        </is>
      </c>
      <c r="J253" s="11" t="n"/>
      <c r="K253" s="11" t="n"/>
      <c r="L253" s="11" t="n"/>
      <c r="M253" s="11" t="inlineStr">
        <is>
          <t>BOX_CAP_BX010_300_BX008_200</t>
        </is>
      </c>
      <c r="N253" s="11" t="n"/>
      <c r="O253" s="17" t="n"/>
      <c r="P253" s="17" t="n"/>
      <c r="Q253" s="17" t="n"/>
      <c r="R253" s="17" t="n"/>
      <c r="S253" s="17" t="n"/>
    </row>
    <row r="254">
      <c r="A254" s="11" t="inlineStr">
        <is>
          <t>A200480</t>
        </is>
      </c>
      <c r="B254" s="11" t="inlineStr">
        <is>
          <t>리체스 에프앤비(Label)</t>
        </is>
      </c>
      <c r="C254" s="35" t="n">
        <v>13</v>
      </c>
      <c r="D254" s="35" t="n">
        <v>11</v>
      </c>
      <c r="E254" s="35" t="n">
        <v>27</v>
      </c>
      <c r="F254" s="35" t="n">
        <v>0.16</v>
      </c>
      <c r="G254" s="11" t="n"/>
      <c r="H254" s="16" t="inlineStr">
        <is>
          <t>Y</t>
        </is>
      </c>
      <c r="I254" s="11" t="inlineStr">
        <is>
          <t>Products.xlsx</t>
        </is>
      </c>
      <c r="J254" s="11" t="n"/>
      <c r="K254" s="11" t="n"/>
      <c r="L254" s="11" t="n"/>
      <c r="M254" s="11" t="n"/>
      <c r="N254" s="11" t="n"/>
      <c r="O254" s="17" t="n"/>
      <c r="P254" s="17" t="n"/>
      <c r="Q254" s="17" t="n"/>
      <c r="R254" s="17" t="n"/>
      <c r="S254" s="17" t="n"/>
    </row>
    <row r="255">
      <c r="A255" s="11" t="inlineStr">
        <is>
          <t>A200485</t>
        </is>
      </c>
      <c r="B255" s="11" t="inlineStr">
        <is>
          <t>리체스 에프앤비</t>
        </is>
      </c>
      <c r="C255" s="35" t="n">
        <v>13</v>
      </c>
      <c r="D255" s="35" t="n">
        <v>11</v>
      </c>
      <c r="E255" s="35" t="n">
        <v>27</v>
      </c>
      <c r="F255" s="35" t="n">
        <v>0.16</v>
      </c>
      <c r="G255" s="11" t="n"/>
      <c r="H255" s="16" t="inlineStr">
        <is>
          <t>Y</t>
        </is>
      </c>
      <c r="I255" s="11" t="inlineStr">
        <is>
          <t>Products.xlsx</t>
        </is>
      </c>
      <c r="J255" s="11" t="n"/>
      <c r="K255" s="11" t="n"/>
      <c r="L255" s="11" t="n"/>
      <c r="M255" s="11" t="n"/>
      <c r="N255" s="11" t="n"/>
      <c r="O255" s="17" t="n"/>
      <c r="P255" s="17" t="n"/>
      <c r="Q255" s="17" t="n"/>
      <c r="R255" s="17" t="n"/>
      <c r="S255" s="17" t="n"/>
    </row>
    <row r="256">
      <c r="A256" s="11" t="inlineStr">
        <is>
          <t>A200490</t>
        </is>
      </c>
      <c r="B256" s="11" t="inlineStr">
        <is>
          <t>리체스 젠슬림</t>
        </is>
      </c>
      <c r="C256" s="35" t="n">
        <v>15.7</v>
      </c>
      <c r="D256" s="35" t="n">
        <v>11</v>
      </c>
      <c r="E256" s="35" t="n">
        <v>3.5</v>
      </c>
      <c r="F256" s="35" t="n">
        <v>0.211</v>
      </c>
      <c r="G256" s="11" t="n"/>
      <c r="H256" s="16" t="inlineStr">
        <is>
          <t>Y</t>
        </is>
      </c>
      <c r="I256" s="11" t="inlineStr">
        <is>
          <t>Products.xlsx</t>
        </is>
      </c>
      <c r="J256" s="11" t="n"/>
      <c r="K256" s="11" t="n"/>
      <c r="L256" s="11" t="n"/>
      <c r="M256" s="11" t="n"/>
      <c r="N256" s="11" t="n"/>
      <c r="O256" s="17" t="n"/>
      <c r="P256" s="17" t="n"/>
      <c r="Q256" s="17" t="n"/>
      <c r="R256" s="17" t="n"/>
      <c r="S256" s="17" t="n"/>
    </row>
    <row r="257">
      <c r="A257" s="11" t="inlineStr">
        <is>
          <t>A200515</t>
        </is>
      </c>
      <c r="B257" s="11" t="inlineStr">
        <is>
          <t>리체스 레드 볼륨 no.7</t>
        </is>
      </c>
      <c r="C257" s="35" t="n">
        <v>18.4</v>
      </c>
      <c r="D257" s="35" t="n">
        <v>7</v>
      </c>
      <c r="E257" s="35" t="n">
        <v>2.1</v>
      </c>
      <c r="F257" s="35" t="n">
        <v>0.037</v>
      </c>
      <c r="G257" s="11" t="n"/>
      <c r="H257" s="16" t="inlineStr">
        <is>
          <t>Y</t>
        </is>
      </c>
      <c r="I257" s="11" t="inlineStr">
        <is>
          <t>Products.xlsx</t>
        </is>
      </c>
      <c r="J257" s="11" t="n"/>
      <c r="K257" s="11" t="n"/>
      <c r="L257" s="11" t="n"/>
      <c r="M257" s="11" t="n"/>
      <c r="N257" s="11" t="n"/>
      <c r="O257" s="17" t="n"/>
      <c r="P257" s="17" t="n"/>
      <c r="Q257" s="17" t="n"/>
      <c r="R257" s="17" t="n"/>
      <c r="S257" s="17" t="n"/>
    </row>
    <row r="258">
      <c r="A258" s="11" t="inlineStr">
        <is>
          <t>A200517</t>
        </is>
      </c>
      <c r="B258" s="11" t="inlineStr">
        <is>
          <t>리체스 레드 볼륨 no.9</t>
        </is>
      </c>
      <c r="C258" s="35" t="n">
        <v>18.4</v>
      </c>
      <c r="D258" s="35" t="n">
        <v>7</v>
      </c>
      <c r="E258" s="35" t="n">
        <v>2.1</v>
      </c>
      <c r="F258" s="35" t="n">
        <v>0.037</v>
      </c>
      <c r="G258" s="11" t="n"/>
      <c r="H258" s="16" t="inlineStr">
        <is>
          <t>Y</t>
        </is>
      </c>
      <c r="I258" s="11" t="inlineStr">
        <is>
          <t>Products.xlsx</t>
        </is>
      </c>
      <c r="J258" s="11" t="n"/>
      <c r="K258" s="11" t="n"/>
      <c r="L258" s="11" t="n"/>
      <c r="M258" s="11" t="n"/>
      <c r="N258" s="11" t="n"/>
      <c r="O258" s="17" t="n"/>
      <c r="P258" s="17" t="n"/>
      <c r="Q258" s="17" t="n"/>
      <c r="R258" s="17" t="n"/>
      <c r="S258" s="17" t="n"/>
    </row>
    <row r="259">
      <c r="A259" s="11" t="inlineStr">
        <is>
          <t>A200520</t>
        </is>
      </c>
      <c r="B259" s="11" t="inlineStr">
        <is>
          <t>리체스 엑소19</t>
        </is>
      </c>
      <c r="C259" s="35" t="n">
        <v>19.9</v>
      </c>
      <c r="D259" s="35" t="n">
        <v>7.6</v>
      </c>
      <c r="E259" s="35" t="n">
        <v>2.5</v>
      </c>
      <c r="F259" s="35" t="n">
        <v>0.05</v>
      </c>
      <c r="G259" s="11" t="n"/>
      <c r="H259" s="16" t="inlineStr">
        <is>
          <t>Y</t>
        </is>
      </c>
      <c r="I259" s="11" t="inlineStr">
        <is>
          <t>Products.xlsx</t>
        </is>
      </c>
      <c r="J259" s="11" t="n"/>
      <c r="K259" s="11" t="n"/>
      <c r="L259" s="11" t="n"/>
      <c r="M259" s="11" t="n"/>
      <c r="N259" s="11" t="n"/>
      <c r="O259" s="17" t="n"/>
      <c r="P259" s="17" t="n"/>
      <c r="Q259" s="17" t="n"/>
      <c r="R259" s="17" t="n"/>
      <c r="S259" s="17" t="n"/>
    </row>
    <row r="260">
      <c r="A260" s="11" t="inlineStr">
        <is>
          <t>A200560</t>
        </is>
      </c>
      <c r="B260" s="11" t="inlineStr">
        <is>
          <t>비디필 하드 (2syr)</t>
        </is>
      </c>
      <c r="C260" s="35" t="n">
        <v>19.3</v>
      </c>
      <c r="D260" s="35" t="n">
        <v>7.4</v>
      </c>
      <c r="E260" s="35" t="n">
        <v>5.1</v>
      </c>
      <c r="F260" s="35" t="n">
        <v>0.079</v>
      </c>
      <c r="G260" s="11" t="n"/>
      <c r="H260" s="16" t="inlineStr">
        <is>
          <t>Y</t>
        </is>
      </c>
      <c r="I260" s="11" t="inlineStr">
        <is>
          <t>Products.xlsx</t>
        </is>
      </c>
      <c r="J260" s="11" t="n"/>
      <c r="K260" s="11" t="n"/>
      <c r="L260" s="11" t="n"/>
      <c r="M260" s="11" t="n"/>
      <c r="N260" s="11" t="n"/>
      <c r="O260" s="17" t="n"/>
      <c r="P260" s="17" t="n"/>
      <c r="Q260" s="17" t="n"/>
      <c r="R260" s="17" t="n"/>
      <c r="S260" s="17" t="n"/>
    </row>
    <row r="261">
      <c r="A261" s="11" t="inlineStr">
        <is>
          <t>A200570</t>
        </is>
      </c>
      <c r="B261" s="11" t="inlineStr">
        <is>
          <t>비디필 미디엄 (2syr)</t>
        </is>
      </c>
      <c r="C261" s="35" t="n">
        <v>19.3</v>
      </c>
      <c r="D261" s="35" t="n">
        <v>7.4</v>
      </c>
      <c r="E261" s="35" t="n">
        <v>5.1</v>
      </c>
      <c r="F261" s="35" t="n">
        <v>0.081</v>
      </c>
      <c r="G261" s="11" t="n"/>
      <c r="H261" s="16" t="inlineStr">
        <is>
          <t>Y</t>
        </is>
      </c>
      <c r="I261" s="11" t="inlineStr">
        <is>
          <t>Products.xlsx</t>
        </is>
      </c>
      <c r="J261" s="11" t="n"/>
      <c r="K261" s="11" t="n"/>
      <c r="L261" s="11" t="n"/>
      <c r="M261" s="11" t="n"/>
      <c r="N261" s="11" t="n"/>
      <c r="O261" s="17" t="n"/>
      <c r="P261" s="17" t="n"/>
      <c r="Q261" s="17" t="n"/>
      <c r="R261" s="17" t="n"/>
      <c r="S261" s="17" t="n"/>
    </row>
    <row r="262">
      <c r="A262" s="11" t="inlineStr">
        <is>
          <t>A200607</t>
        </is>
      </c>
      <c r="B262" s="11" t="inlineStr">
        <is>
          <t>원필 서브큐 리도 (Tur)</t>
        </is>
      </c>
      <c r="C262" s="35" t="n">
        <v>19.1</v>
      </c>
      <c r="D262" s="35" t="n">
        <v>7.3</v>
      </c>
      <c r="E262" s="35" t="n">
        <v>5</v>
      </c>
      <c r="F262" s="35" t="n">
        <v>0.08699999999999999</v>
      </c>
      <c r="G262" s="11" t="n"/>
      <c r="H262" s="16" t="inlineStr">
        <is>
          <t>Y</t>
        </is>
      </c>
      <c r="I262" s="11" t="inlineStr">
        <is>
          <t>Products.xlsx</t>
        </is>
      </c>
      <c r="J262" s="11" t="n"/>
      <c r="K262" s="11" t="n"/>
      <c r="L262" s="11" t="n"/>
      <c r="M262" s="11" t="n"/>
      <c r="N262" s="11" t="n"/>
      <c r="O262" s="17" t="n"/>
      <c r="P262" s="17" t="n"/>
      <c r="Q262" s="17" t="n"/>
      <c r="R262" s="17" t="n"/>
      <c r="S262" s="17" t="n"/>
    </row>
    <row r="263">
      <c r="A263" s="11" t="inlineStr">
        <is>
          <t>A200608</t>
        </is>
      </c>
      <c r="B263" s="11" t="inlineStr">
        <is>
          <t>원필 딥 리도 (Tur)</t>
        </is>
      </c>
      <c r="C263" s="35" t="n">
        <v>19.1</v>
      </c>
      <c r="D263" s="35" t="n">
        <v>7.3</v>
      </c>
      <c r="E263" s="35" t="n">
        <v>5</v>
      </c>
      <c r="F263" s="35" t="n">
        <v>0.08699999999999999</v>
      </c>
      <c r="G263" s="11" t="n"/>
      <c r="H263" s="16" t="inlineStr">
        <is>
          <t>Y</t>
        </is>
      </c>
      <c r="I263" s="11" t="inlineStr">
        <is>
          <t>Products.xlsx</t>
        </is>
      </c>
      <c r="J263" s="11" t="n"/>
      <c r="K263" s="11" t="n"/>
      <c r="L263" s="11" t="n"/>
      <c r="M263" s="11" t="n"/>
      <c r="N263" s="11" t="n"/>
      <c r="O263" s="17" t="n"/>
      <c r="P263" s="17" t="n"/>
      <c r="Q263" s="17" t="n"/>
      <c r="R263" s="17" t="n"/>
      <c r="S263" s="17" t="n"/>
    </row>
    <row r="264">
      <c r="A264" s="11" t="inlineStr">
        <is>
          <t>A200609</t>
        </is>
      </c>
      <c r="B264" s="11" t="inlineStr">
        <is>
          <t>원필 클래식 리도 (Tur)</t>
        </is>
      </c>
      <c r="C264" s="35" t="n">
        <v>19.1</v>
      </c>
      <c r="D264" s="35" t="n">
        <v>7.3</v>
      </c>
      <c r="E264" s="35" t="n">
        <v>5</v>
      </c>
      <c r="F264" s="35" t="n">
        <v>0.08699999999999999</v>
      </c>
      <c r="G264" s="11" t="n"/>
      <c r="H264" s="16" t="inlineStr">
        <is>
          <t>Y</t>
        </is>
      </c>
      <c r="I264" s="11" t="inlineStr">
        <is>
          <t>Products.xlsx</t>
        </is>
      </c>
      <c r="J264" s="11" t="n"/>
      <c r="K264" s="11" t="n"/>
      <c r="L264" s="11" t="n"/>
      <c r="M264" s="11" t="n"/>
      <c r="N264" s="11" t="n"/>
      <c r="O264" s="17" t="n"/>
      <c r="P264" s="17" t="n"/>
      <c r="Q264" s="17" t="n"/>
      <c r="R264" s="17" t="n"/>
      <c r="S264" s="17" t="n"/>
    </row>
    <row r="265">
      <c r="A265" s="11" t="inlineStr">
        <is>
          <t>A200700</t>
        </is>
      </c>
      <c r="B265" s="11" t="inlineStr">
        <is>
          <t>테오필 아이즈</t>
        </is>
      </c>
      <c r="C265" s="35" t="n">
        <v>19.1</v>
      </c>
      <c r="D265" s="35" t="n">
        <v>7.3</v>
      </c>
      <c r="E265" s="35" t="n">
        <v>2.9</v>
      </c>
      <c r="F265" s="35" t="n">
        <v>0.047</v>
      </c>
      <c r="G265" s="11" t="n"/>
      <c r="H265" s="16" t="inlineStr">
        <is>
          <t>Y</t>
        </is>
      </c>
      <c r="I265" s="11" t="inlineStr">
        <is>
          <t>Products.xlsx</t>
        </is>
      </c>
      <c r="J265" s="11" t="n"/>
      <c r="K265" s="11" t="n"/>
      <c r="L265" s="11" t="n"/>
      <c r="M265" s="11" t="n"/>
      <c r="N265" s="11" t="n"/>
      <c r="O265" s="17" t="n"/>
      <c r="P265" s="17" t="n"/>
      <c r="Q265" s="17" t="n"/>
      <c r="R265" s="17" t="n"/>
      <c r="S265" s="17" t="n"/>
    </row>
    <row r="266">
      <c r="A266" s="11" t="inlineStr">
        <is>
          <t>A200705</t>
        </is>
      </c>
      <c r="B266" s="11" t="inlineStr">
        <is>
          <t>테오필 페이스</t>
        </is>
      </c>
      <c r="C266" s="35" t="n">
        <v>19.2</v>
      </c>
      <c r="D266" s="35" t="n">
        <v>7.4</v>
      </c>
      <c r="E266" s="35" t="n">
        <v>2.9</v>
      </c>
      <c r="F266" s="35" t="n">
        <v>0.051</v>
      </c>
      <c r="G266" s="11" t="n"/>
      <c r="H266" s="16" t="inlineStr">
        <is>
          <t>Y</t>
        </is>
      </c>
      <c r="I266" s="11" t="inlineStr">
        <is>
          <t>Products.xlsx</t>
        </is>
      </c>
      <c r="J266" s="11" t="n"/>
      <c r="K266" s="11" t="n"/>
      <c r="L266" s="11" t="n"/>
      <c r="M266" s="11" t="inlineStr">
        <is>
          <t>BOX_CAP_BX010_300_BX008_200</t>
        </is>
      </c>
      <c r="N266" s="11" t="n"/>
      <c r="O266" s="17" t="n"/>
      <c r="P266" s="17" t="n"/>
      <c r="Q266" s="17" t="n"/>
      <c r="R266" s="17" t="n"/>
      <c r="S266" s="17" t="n"/>
    </row>
    <row r="267">
      <c r="A267" s="11" t="inlineStr">
        <is>
          <t>A300350</t>
        </is>
      </c>
      <c r="B267" s="11" t="inlineStr">
        <is>
          <t>드메이 하이로우</t>
        </is>
      </c>
      <c r="C267" s="35" t="n">
        <v>19.3</v>
      </c>
      <c r="D267" s="35" t="n">
        <v>7.4</v>
      </c>
      <c r="E267" s="35" t="n">
        <v>2.9</v>
      </c>
      <c r="F267" s="35" t="n">
        <v>0.052</v>
      </c>
      <c r="G267" s="11" t="n"/>
      <c r="H267" s="16" t="inlineStr">
        <is>
          <t>Y</t>
        </is>
      </c>
      <c r="I267" s="11" t="inlineStr">
        <is>
          <t>Products.xlsx</t>
        </is>
      </c>
      <c r="J267" s="11" t="n"/>
      <c r="K267" s="11" t="n"/>
      <c r="L267" s="11" t="n"/>
      <c r="M267" s="11" t="inlineStr">
        <is>
          <t>BOX_CAP_BX010_300_BX008_200</t>
        </is>
      </c>
      <c r="N267" s="11" t="n"/>
      <c r="O267" s="17" t="n"/>
      <c r="P267" s="17" t="n"/>
      <c r="Q267" s="17" t="n"/>
      <c r="R267" s="17" t="n"/>
      <c r="S267" s="17" t="n"/>
    </row>
    <row r="268">
      <c r="A268" s="11" t="inlineStr">
        <is>
          <t>A300351</t>
        </is>
      </c>
      <c r="B268" s="11" t="inlineStr">
        <is>
          <t>드메이 하이로우 32</t>
        </is>
      </c>
      <c r="C268" s="35" t="n">
        <v>19.2</v>
      </c>
      <c r="D268" s="35" t="n">
        <v>7.3</v>
      </c>
      <c r="E268" s="35" t="n">
        <v>2.8</v>
      </c>
      <c r="F268" s="35" t="n">
        <v>0.051</v>
      </c>
      <c r="G268" s="11" t="n"/>
      <c r="H268" s="16" t="inlineStr">
        <is>
          <t>Y</t>
        </is>
      </c>
      <c r="I268" s="11" t="inlineStr">
        <is>
          <t>Products.xlsx</t>
        </is>
      </c>
      <c r="J268" s="11" t="n"/>
      <c r="K268" s="11" t="n"/>
      <c r="L268" s="11" t="n"/>
      <c r="M268" s="11" t="inlineStr">
        <is>
          <t>BOX_CAP_BX010_300_BX008_200</t>
        </is>
      </c>
      <c r="N268" s="11" t="n"/>
      <c r="O268" s="17" t="n"/>
      <c r="P268" s="17" t="n"/>
      <c r="Q268" s="17" t="n"/>
      <c r="R268" s="17" t="n"/>
      <c r="S268" s="17" t="n"/>
    </row>
    <row r="269">
      <c r="A269" s="11" t="inlineStr">
        <is>
          <t>A300430</t>
        </is>
      </c>
      <c r="B269" s="11" t="inlineStr">
        <is>
          <t>드메이 PLA</t>
        </is>
      </c>
      <c r="C269" s="35" t="n">
        <v>6.4</v>
      </c>
      <c r="D269" s="35" t="n">
        <v>3.6</v>
      </c>
      <c r="E269" s="35" t="n">
        <v>3.5</v>
      </c>
      <c r="F269" s="35" t="n">
        <v>0.022</v>
      </c>
      <c r="G269" s="11" t="n"/>
      <c r="H269" s="16" t="inlineStr">
        <is>
          <t>Y</t>
        </is>
      </c>
      <c r="I269" s="11" t="inlineStr">
        <is>
          <t>Products.xlsx</t>
        </is>
      </c>
      <c r="J269" s="11" t="n"/>
      <c r="K269" s="11" t="n"/>
      <c r="L269" s="11" t="n"/>
      <c r="M269" s="11" t="n"/>
      <c r="N269" s="11" t="n"/>
      <c r="O269" s="17" t="n"/>
      <c r="P269" s="17" t="n"/>
      <c r="Q269" s="17" t="n"/>
      <c r="R269" s="17" t="n"/>
      <c r="S269" s="17" t="n"/>
    </row>
    <row r="270">
      <c r="A270" s="11" t="inlineStr">
        <is>
          <t>A300520</t>
        </is>
      </c>
      <c r="B270" s="11" t="inlineStr">
        <is>
          <t xml:space="preserve">드메이 H140 </t>
        </is>
      </c>
      <c r="C270" s="35" t="n">
        <v>22.8</v>
      </c>
      <c r="D270" s="35" t="n">
        <v>9.9</v>
      </c>
      <c r="E270" s="35" t="n">
        <v>5.4</v>
      </c>
      <c r="F270" s="35" t="n">
        <v>0.252</v>
      </c>
      <c r="G270" s="11" t="n"/>
      <c r="H270" s="16" t="inlineStr">
        <is>
          <t>Y</t>
        </is>
      </c>
      <c r="I270" s="11" t="inlineStr">
        <is>
          <t>Products.xlsx</t>
        </is>
      </c>
      <c r="J270" s="11" t="n"/>
      <c r="K270" s="11" t="n"/>
      <c r="L270" s="11" t="n"/>
      <c r="M270" s="11" t="n"/>
      <c r="N270" s="11" t="n"/>
      <c r="O270" s="17" t="n"/>
      <c r="P270" s="17" t="n"/>
      <c r="Q270" s="17" t="n"/>
      <c r="R270" s="17" t="n"/>
      <c r="S270" s="17" t="n"/>
    </row>
    <row r="271">
      <c r="A271" s="11" t="inlineStr">
        <is>
          <t>A300530</t>
        </is>
      </c>
      <c r="B271" s="11" t="inlineStr">
        <is>
          <t>드메이 레디언스 잘루부스터</t>
        </is>
      </c>
      <c r="C271" s="35" t="n">
        <v>22.5</v>
      </c>
      <c r="D271" s="35" t="n">
        <v>13.7</v>
      </c>
      <c r="E271" s="35" t="n">
        <v>4.7</v>
      </c>
      <c r="F271" s="35" t="n">
        <v>0.408</v>
      </c>
      <c r="G271" s="11" t="n"/>
      <c r="H271" s="16" t="inlineStr">
        <is>
          <t>Y</t>
        </is>
      </c>
      <c r="I271" s="11" t="inlineStr">
        <is>
          <t>Products.xlsx</t>
        </is>
      </c>
      <c r="J271" s="11" t="n"/>
      <c r="K271" s="11" t="n"/>
      <c r="L271" s="11" t="n"/>
      <c r="M271" s="11" t="n"/>
      <c r="N271" s="11" t="n"/>
      <c r="O271" s="17" t="n"/>
      <c r="P271" s="17" t="n"/>
      <c r="Q271" s="17" t="n"/>
      <c r="R271" s="17" t="n"/>
      <c r="S271" s="17" t="n"/>
    </row>
    <row r="272">
      <c r="A272" s="11" t="inlineStr">
        <is>
          <t>A300700</t>
        </is>
      </c>
      <c r="B272" s="11" t="inlineStr">
        <is>
          <t>리체스 카인크림</t>
        </is>
      </c>
      <c r="C272" s="35" t="n">
        <v>10</v>
      </c>
      <c r="D272" s="35" t="n">
        <v>10</v>
      </c>
      <c r="E272" s="35" t="n">
        <v>11.2</v>
      </c>
      <c r="F272" s="35" t="n">
        <v>0.631</v>
      </c>
      <c r="G272" s="11" t="n"/>
      <c r="H272" s="16" t="inlineStr">
        <is>
          <t>Y</t>
        </is>
      </c>
      <c r="I272" s="11" t="inlineStr">
        <is>
          <t>Products.xlsx</t>
        </is>
      </c>
      <c r="J272" s="11" t="n"/>
      <c r="K272" s="11" t="n"/>
      <c r="L272" s="11" t="n"/>
      <c r="M272" s="11" t="n"/>
      <c r="N272" s="11" t="n"/>
      <c r="O272" s="17" t="n"/>
      <c r="P272" s="17" t="n"/>
      <c r="Q272" s="17" t="n"/>
      <c r="R272" s="17" t="n"/>
      <c r="S272" s="17" t="n"/>
    </row>
    <row r="273">
      <c r="A273" s="11" t="inlineStr">
        <is>
          <t>A300701</t>
        </is>
      </c>
      <c r="B273" s="11" t="inlineStr">
        <is>
          <t>리체스 카인크림 (30g)</t>
        </is>
      </c>
      <c r="C273" s="35" t="n">
        <v>13.3</v>
      </c>
      <c r="D273" s="35" t="n">
        <v>3.8</v>
      </c>
      <c r="E273" s="35" t="n">
        <v>3.4</v>
      </c>
      <c r="F273" s="35" t="n">
        <v>0.047</v>
      </c>
      <c r="G273" s="11" t="n"/>
      <c r="H273" s="16" t="inlineStr">
        <is>
          <t>Y</t>
        </is>
      </c>
      <c r="I273" s="11" t="inlineStr">
        <is>
          <t>Products.xlsx</t>
        </is>
      </c>
      <c r="J273" s="11" t="n"/>
      <c r="K273" s="11" t="n"/>
      <c r="L273" s="11" t="n"/>
      <c r="M273" s="11" t="n"/>
      <c r="N273" s="11" t="n"/>
      <c r="O273" s="17" t="n"/>
      <c r="P273" s="17" t="n"/>
      <c r="Q273" s="17" t="n"/>
      <c r="R273" s="17" t="n"/>
      <c r="S273" s="17" t="n"/>
    </row>
    <row r="274">
      <c r="A274" s="11" t="inlineStr">
        <is>
          <t>A300702</t>
        </is>
      </c>
      <c r="B274" s="11" t="inlineStr">
        <is>
          <t>리체스 카인플러스크림</t>
        </is>
      </c>
      <c r="C274" s="35" t="n">
        <v>10</v>
      </c>
      <c r="D274" s="35" t="n">
        <v>10</v>
      </c>
      <c r="E274" s="35" t="n">
        <v>11.2</v>
      </c>
      <c r="F274" s="35" t="n">
        <v>0.631</v>
      </c>
      <c r="G274" s="11" t="n"/>
      <c r="H274" s="16" t="inlineStr">
        <is>
          <t>Y</t>
        </is>
      </c>
      <c r="I274" s="11" t="inlineStr">
        <is>
          <t>Products.xlsx</t>
        </is>
      </c>
      <c r="J274" s="11" t="n"/>
      <c r="K274" s="11" t="n"/>
      <c r="L274" s="11" t="n"/>
      <c r="M274" s="11" t="n"/>
      <c r="N274" s="11" t="n"/>
      <c r="O274" s="17" t="n"/>
      <c r="P274" s="17" t="n"/>
      <c r="Q274" s="17" t="n"/>
      <c r="R274" s="17" t="n"/>
      <c r="S274" s="17" t="n"/>
    </row>
    <row r="275">
      <c r="A275" s="11" t="inlineStr">
        <is>
          <t>A300910</t>
        </is>
      </c>
      <c r="B275" s="11" t="inlineStr">
        <is>
          <t>리체스 글램필</t>
        </is>
      </c>
      <c r="C275" s="35" t="n">
        <v>8.9</v>
      </c>
      <c r="D275" s="35" t="n">
        <v>4.8</v>
      </c>
      <c r="E275" s="35" t="n">
        <v>4.8</v>
      </c>
      <c r="F275" s="35" t="n">
        <v>0.129</v>
      </c>
      <c r="G275" s="11" t="n"/>
      <c r="H275" s="16" t="inlineStr">
        <is>
          <t>Y</t>
        </is>
      </c>
      <c r="I275" s="11" t="inlineStr">
        <is>
          <t>Products.xlsx</t>
        </is>
      </c>
      <c r="J275" s="11" t="n"/>
      <c r="K275" s="11" t="n"/>
      <c r="L275" s="11" t="n"/>
      <c r="M275" s="11" t="n"/>
      <c r="N275" s="11" t="n"/>
      <c r="O275" s="17" t="n"/>
      <c r="P275" s="17" t="n"/>
      <c r="Q275" s="17" t="n"/>
      <c r="R275" s="17" t="n"/>
      <c r="S275" s="17" t="n"/>
    </row>
    <row r="276">
      <c r="A276" s="11" t="inlineStr">
        <is>
          <t>A301015</t>
        </is>
      </c>
      <c r="B276" s="11" t="inlineStr">
        <is>
          <t>리체스 아이즈 (COS)</t>
        </is>
      </c>
      <c r="C276" s="35" t="n">
        <v>19.2</v>
      </c>
      <c r="D276" s="35" t="n">
        <v>7.3</v>
      </c>
      <c r="E276" s="35" t="n">
        <v>2.9</v>
      </c>
      <c r="F276" s="35" t="n">
        <v>0.048</v>
      </c>
      <c r="G276" s="11" t="n"/>
      <c r="H276" s="16" t="inlineStr">
        <is>
          <t>Y</t>
        </is>
      </c>
      <c r="I276" s="11" t="inlineStr">
        <is>
          <t>Products.xlsx</t>
        </is>
      </c>
      <c r="J276" s="11" t="n"/>
      <c r="K276" s="11" t="n"/>
      <c r="L276" s="11" t="n"/>
      <c r="M276" s="11" t="inlineStr">
        <is>
          <t>BOX_CAP_BX010_300_BX008_200</t>
        </is>
      </c>
      <c r="N276" s="11" t="n"/>
      <c r="O276" s="17" t="n"/>
      <c r="P276" s="17" t="n"/>
      <c r="Q276" s="17" t="n"/>
      <c r="R276" s="17" t="n"/>
      <c r="S276" s="17" t="n"/>
    </row>
    <row r="277">
      <c r="A277" s="11" t="inlineStr">
        <is>
          <t>A301030</t>
        </is>
      </c>
      <c r="B277" s="11" t="inlineStr">
        <is>
          <t>리체스 콜라필로 (COS)</t>
        </is>
      </c>
      <c r="C277" s="35" t="n">
        <v>19.9</v>
      </c>
      <c r="D277" s="35" t="n">
        <v>6.8</v>
      </c>
      <c r="E277" s="35" t="n">
        <v>2.7</v>
      </c>
      <c r="F277" s="35" t="n">
        <v>0.042</v>
      </c>
      <c r="G277" s="11" t="n"/>
      <c r="H277" s="16" t="inlineStr">
        <is>
          <t>Y</t>
        </is>
      </c>
      <c r="I277" s="11" t="inlineStr">
        <is>
          <t>Products.xlsx</t>
        </is>
      </c>
      <c r="J277" s="11" t="n"/>
      <c r="K277" s="11" t="n"/>
      <c r="L277" s="11" t="n"/>
      <c r="M277" s="11" t="n"/>
      <c r="N277" s="11" t="n"/>
      <c r="O277" s="17" t="n"/>
      <c r="P277" s="17" t="n"/>
      <c r="Q277" s="17" t="n"/>
      <c r="R277" s="17" t="n"/>
      <c r="S277" s="17" t="n"/>
    </row>
    <row r="278">
      <c r="A278" s="11" t="inlineStr">
        <is>
          <t>A301040</t>
        </is>
      </c>
      <c r="B278" s="11" t="inlineStr">
        <is>
          <t>리체스 아쿠아프라임</t>
        </is>
      </c>
      <c r="C278" s="35" t="n">
        <v>19.3</v>
      </c>
      <c r="D278" s="35" t="n">
        <v>7.4</v>
      </c>
      <c r="E278" s="35" t="n">
        <v>5.1</v>
      </c>
      <c r="F278" s="35" t="n">
        <v>0.08699999999999999</v>
      </c>
      <c r="G278" s="11" t="n"/>
      <c r="H278" s="16" t="inlineStr">
        <is>
          <t>Y</t>
        </is>
      </c>
      <c r="I278" s="11" t="inlineStr">
        <is>
          <t>Products.xlsx</t>
        </is>
      </c>
      <c r="J278" s="11" t="n"/>
      <c r="K278" s="11" t="n"/>
      <c r="L278" s="11" t="n"/>
      <c r="M278" s="11" t="n"/>
      <c r="N278" s="11" t="n"/>
      <c r="O278" s="17" t="n"/>
      <c r="P278" s="17" t="n"/>
      <c r="Q278" s="17" t="n"/>
      <c r="R278" s="17" t="n"/>
      <c r="S278" s="17" t="n"/>
    </row>
    <row r="279">
      <c r="A279" s="11" t="inlineStr">
        <is>
          <t>A301050</t>
        </is>
      </c>
      <c r="B279" s="11" t="inlineStr">
        <is>
          <t>리체스 페이스</t>
        </is>
      </c>
      <c r="C279" s="35" t="n">
        <v>19.2</v>
      </c>
      <c r="D279" s="35" t="n">
        <v>7.3</v>
      </c>
      <c r="E279" s="35" t="n">
        <v>2.8</v>
      </c>
      <c r="F279" s="35" t="n">
        <v>0.052</v>
      </c>
      <c r="G279" s="11" t="n"/>
      <c r="H279" s="16" t="inlineStr">
        <is>
          <t>Y</t>
        </is>
      </c>
      <c r="I279" s="11" t="inlineStr">
        <is>
          <t>Products.xlsx</t>
        </is>
      </c>
      <c r="J279" s="11" t="n"/>
      <c r="K279" s="11" t="n"/>
      <c r="L279" s="11" t="n"/>
      <c r="M279" s="11" t="inlineStr">
        <is>
          <t>BOX_CAP_BX010_300_BX008_200</t>
        </is>
      </c>
      <c r="N279" s="11" t="n"/>
      <c r="O279" s="17" t="n"/>
      <c r="P279" s="17" t="n"/>
      <c r="Q279" s="17" t="n"/>
      <c r="R279" s="17" t="n"/>
      <c r="S279" s="17" t="n"/>
    </row>
    <row r="280">
      <c r="A280" s="11" t="inlineStr">
        <is>
          <t>A301055</t>
        </is>
      </c>
      <c r="B280" s="11" t="inlineStr">
        <is>
          <t>리체스 하이로 프로 with PN</t>
        </is>
      </c>
      <c r="C280" s="35" t="n">
        <v>19.2</v>
      </c>
      <c r="D280" s="35" t="n">
        <v>7.4</v>
      </c>
      <c r="E280" s="35" t="n">
        <v>2.9</v>
      </c>
      <c r="F280" s="35" t="n">
        <v>0.052</v>
      </c>
      <c r="G280" s="11" t="n"/>
      <c r="H280" s="16" t="inlineStr">
        <is>
          <t>Y</t>
        </is>
      </c>
      <c r="I280" s="11" t="inlineStr">
        <is>
          <t>Products.xlsx</t>
        </is>
      </c>
      <c r="J280" s="11" t="n"/>
      <c r="K280" s="11" t="n"/>
      <c r="L280" s="11" t="n"/>
      <c r="M280" s="11" t="inlineStr">
        <is>
          <t>BOX_CAP_BX010_300_BX008_200</t>
        </is>
      </c>
      <c r="N280" s="11" t="n"/>
      <c r="O280" s="17" t="n"/>
      <c r="P280" s="17" t="n"/>
      <c r="Q280" s="17" t="n"/>
      <c r="R280" s="17" t="n"/>
      <c r="S280" s="17" t="n"/>
    </row>
    <row r="281">
      <c r="A281" s="11" t="inlineStr">
        <is>
          <t>A301060</t>
        </is>
      </c>
      <c r="B281" s="11" t="inlineStr">
        <is>
          <t>리체스 메조퀸 잘루부스터</t>
        </is>
      </c>
      <c r="C281" s="35" t="n">
        <v>22.5</v>
      </c>
      <c r="D281" s="35" t="n">
        <v>13.7</v>
      </c>
      <c r="E281" s="35" t="n">
        <v>4.7</v>
      </c>
      <c r="F281" s="35" t="n">
        <v>0.408</v>
      </c>
      <c r="G281" s="11" t="n"/>
      <c r="H281" s="16" t="inlineStr">
        <is>
          <t>Y</t>
        </is>
      </c>
      <c r="I281" s="11" t="inlineStr">
        <is>
          <t>Products.xlsx</t>
        </is>
      </c>
      <c r="J281" s="11" t="n"/>
      <c r="K281" s="11" t="n"/>
      <c r="L281" s="11" t="n"/>
      <c r="M281" s="11" t="n"/>
      <c r="N281" s="11" t="n"/>
      <c r="O281" s="17" t="n"/>
      <c r="P281" s="17" t="n"/>
      <c r="Q281" s="17" t="n"/>
      <c r="R281" s="17" t="n"/>
      <c r="S281" s="17" t="n"/>
    </row>
    <row r="282">
      <c r="A282" s="11" t="inlineStr">
        <is>
          <t>A301065</t>
        </is>
      </c>
      <c r="B282" s="11" t="inlineStr">
        <is>
          <t>리체스 NAD+ 부스터(BOX)</t>
        </is>
      </c>
      <c r="C282" s="35" t="n">
        <v>18</v>
      </c>
      <c r="D282" s="35" t="n">
        <v>8</v>
      </c>
      <c r="E282" s="35" t="n">
        <v>5.8</v>
      </c>
      <c r="F282" s="35" t="n">
        <v>0.202</v>
      </c>
      <c r="G282" s="11" t="n"/>
      <c r="H282" s="16" t="inlineStr">
        <is>
          <t>Y</t>
        </is>
      </c>
      <c r="I282" s="11" t="inlineStr">
        <is>
          <t>Products.xlsx</t>
        </is>
      </c>
      <c r="J282" s="11" t="n"/>
      <c r="K282" s="11" t="n"/>
      <c r="L282" s="11" t="n"/>
      <c r="M282" s="11" t="n"/>
      <c r="N282" s="11" t="n"/>
      <c r="O282" s="17" t="n"/>
      <c r="P282" s="17" t="n"/>
      <c r="Q282" s="17" t="n"/>
      <c r="R282" s="17" t="n"/>
      <c r="S282" s="17" t="n"/>
    </row>
    <row r="283">
      <c r="A283" s="11" t="inlineStr">
        <is>
          <t>A301066</t>
        </is>
      </c>
      <c r="B283" s="11" t="inlineStr">
        <is>
          <t>리체스 NAD+ 부스터(EA)</t>
        </is>
      </c>
      <c r="C283" s="35" t="n">
        <v>7.8</v>
      </c>
      <c r="D283" s="35" t="n">
        <v>4.4</v>
      </c>
      <c r="E283" s="35" t="n">
        <v>5.4</v>
      </c>
      <c r="F283" s="35" t="n">
        <v>0.043</v>
      </c>
      <c r="G283" s="11" t="n"/>
      <c r="H283" s="16" t="inlineStr">
        <is>
          <t>Y</t>
        </is>
      </c>
      <c r="I283" s="11" t="inlineStr">
        <is>
          <t>Products.xlsx</t>
        </is>
      </c>
      <c r="J283" s="11" t="n"/>
      <c r="K283" s="11" t="n"/>
      <c r="L283" s="11" t="n"/>
      <c r="M283" s="11" t="n"/>
      <c r="N283" s="11" t="n"/>
      <c r="O283" s="17" t="n"/>
      <c r="P283" s="17" t="n"/>
      <c r="Q283" s="17" t="n"/>
      <c r="R283" s="17" t="n"/>
      <c r="S283" s="17" t="n"/>
    </row>
    <row r="284">
      <c r="A284" s="11" t="inlineStr">
        <is>
          <t>A301070</t>
        </is>
      </c>
      <c r="B284" s="11" t="inlineStr">
        <is>
          <t>리포원 프리미엄</t>
        </is>
      </c>
      <c r="C284" s="35" t="n">
        <v>18.3</v>
      </c>
      <c r="D284" s="35" t="n">
        <v>8.9</v>
      </c>
      <c r="E284" s="35" t="n">
        <v>6.9</v>
      </c>
      <c r="F284" s="35" t="n">
        <v>0.332</v>
      </c>
      <c r="G284" s="11" t="n"/>
      <c r="H284" s="16" t="inlineStr">
        <is>
          <t>Y</t>
        </is>
      </c>
      <c r="I284" s="11" t="inlineStr">
        <is>
          <t>Products.xlsx</t>
        </is>
      </c>
      <c r="J284" s="11" t="n"/>
      <c r="K284" s="11" t="n"/>
      <c r="L284" s="11" t="n"/>
      <c r="M284" s="11" t="n"/>
      <c r="N284" s="11" t="n"/>
      <c r="O284" s="17" t="n"/>
      <c r="P284" s="17" t="n"/>
      <c r="Q284" s="17" t="n"/>
      <c r="R284" s="17" t="n"/>
      <c r="S284" s="17" t="n"/>
    </row>
    <row r="285">
      <c r="A285" s="11" t="inlineStr">
        <is>
          <t>A301080</t>
        </is>
      </c>
      <c r="B285" s="11" t="inlineStr">
        <is>
          <t xml:space="preserve">리포원 브이라인 </t>
        </is>
      </c>
      <c r="C285" s="35" t="n">
        <v>18.3</v>
      </c>
      <c r="D285" s="35" t="n">
        <v>8.9</v>
      </c>
      <c r="E285" s="35" t="n">
        <v>6.9</v>
      </c>
      <c r="F285" s="35" t="n">
        <v>0.332</v>
      </c>
      <c r="G285" s="11" t="n"/>
      <c r="H285" s="16" t="inlineStr">
        <is>
          <t>Y</t>
        </is>
      </c>
      <c r="I285" s="11" t="inlineStr">
        <is>
          <t>Products.xlsx</t>
        </is>
      </c>
      <c r="J285" s="11" t="n"/>
      <c r="K285" s="11" t="n"/>
      <c r="L285" s="11" t="n"/>
      <c r="M285" s="11" t="n"/>
      <c r="N285" s="11" t="n"/>
      <c r="O285" s="17" t="n"/>
      <c r="P285" s="17" t="n"/>
      <c r="Q285" s="17" t="n"/>
      <c r="R285" s="17" t="n"/>
      <c r="S285" s="17" t="n"/>
    </row>
    <row r="286">
      <c r="A286" s="11" t="inlineStr">
        <is>
          <t>A301113</t>
        </is>
      </c>
      <c r="B286" s="11" t="inlineStr">
        <is>
          <t>엑소원(I BOX)</t>
        </is>
      </c>
      <c r="C286" s="35" t="n">
        <v>18</v>
      </c>
      <c r="D286" s="35" t="n">
        <v>8</v>
      </c>
      <c r="E286" s="35" t="n">
        <v>5.9</v>
      </c>
      <c r="F286" s="35" t="n">
        <v>0.205</v>
      </c>
      <c r="G286" s="11" t="n"/>
      <c r="H286" s="16" t="inlineStr">
        <is>
          <t>Y</t>
        </is>
      </c>
      <c r="I286" s="11" t="inlineStr">
        <is>
          <t>Products.xlsx</t>
        </is>
      </c>
      <c r="J286" s="11" t="n"/>
      <c r="K286" s="11" t="n"/>
      <c r="L286" s="11" t="n"/>
      <c r="M286" s="11" t="n"/>
      <c r="N286" s="11" t="n"/>
      <c r="O286" s="17" t="n"/>
      <c r="P286" s="17" t="n"/>
      <c r="Q286" s="17" t="n"/>
      <c r="R286" s="17" t="n"/>
      <c r="S286" s="17" t="n"/>
    </row>
    <row r="287">
      <c r="A287" s="11" t="inlineStr">
        <is>
          <t>A301120</t>
        </is>
      </c>
      <c r="B287" s="11" t="inlineStr">
        <is>
          <t>엑소원V(BOX)</t>
        </is>
      </c>
      <c r="C287" s="35" t="n">
        <v>18</v>
      </c>
      <c r="D287" s="35" t="n">
        <v>8</v>
      </c>
      <c r="E287" s="35" t="n">
        <v>5.9</v>
      </c>
      <c r="F287" s="35" t="n">
        <v>0.205</v>
      </c>
      <c r="G287" s="11" t="n"/>
      <c r="H287" s="16" t="inlineStr">
        <is>
          <t>Y</t>
        </is>
      </c>
      <c r="I287" s="11" t="inlineStr">
        <is>
          <t>Products.xlsx</t>
        </is>
      </c>
      <c r="J287" s="11" t="n"/>
      <c r="K287" s="11" t="n"/>
      <c r="L287" s="11" t="n"/>
      <c r="M287" s="11" t="n"/>
      <c r="N287" s="11" t="n"/>
      <c r="O287" s="17" t="n"/>
      <c r="P287" s="17" t="n"/>
      <c r="Q287" s="17" t="n"/>
      <c r="R287" s="17" t="n"/>
      <c r="S287" s="17" t="n"/>
    </row>
    <row r="288">
      <c r="A288" s="11" t="inlineStr">
        <is>
          <t>A301220</t>
        </is>
      </c>
      <c r="B288" s="11" t="inlineStr">
        <is>
          <t>제이드 카인플러스크림</t>
        </is>
      </c>
      <c r="C288" s="35" t="n">
        <v>10</v>
      </c>
      <c r="D288" s="35" t="n">
        <v>10</v>
      </c>
      <c r="E288" s="35" t="n">
        <v>11.2</v>
      </c>
      <c r="F288" s="35" t="n">
        <v>0.631</v>
      </c>
      <c r="G288" s="11" t="n"/>
      <c r="H288" s="16" t="inlineStr">
        <is>
          <t>Y</t>
        </is>
      </c>
      <c r="I288" s="11" t="inlineStr">
        <is>
          <t>Products.xlsx</t>
        </is>
      </c>
      <c r="J288" s="11" t="n"/>
      <c r="K288" s="11" t="n"/>
      <c r="L288" s="11" t="n"/>
      <c r="M288" s="11" t="n"/>
      <c r="N288" s="11" t="n"/>
      <c r="O288" s="17" t="n"/>
      <c r="P288" s="17" t="n"/>
      <c r="Q288" s="17" t="n"/>
      <c r="R288" s="17" t="n"/>
      <c r="S288" s="17" t="n"/>
    </row>
    <row r="289">
      <c r="A289" s="11" t="inlineStr">
        <is>
          <t>A301400</t>
        </is>
      </c>
      <c r="B289" s="11" t="inlineStr">
        <is>
          <t>콜라원(BOX)</t>
        </is>
      </c>
      <c r="C289" s="35" t="n">
        <v>18.1</v>
      </c>
      <c r="D289" s="35" t="n">
        <v>8</v>
      </c>
      <c r="E289" s="35" t="n">
        <v>5.8</v>
      </c>
      <c r="F289" s="35" t="n">
        <v>0.208</v>
      </c>
      <c r="G289" s="11" t="n"/>
      <c r="H289" s="16" t="inlineStr">
        <is>
          <t>Y</t>
        </is>
      </c>
      <c r="I289" s="11" t="inlineStr">
        <is>
          <t>Products.xlsx</t>
        </is>
      </c>
      <c r="J289" s="11" t="n"/>
      <c r="K289" s="11" t="n"/>
      <c r="L289" s="11" t="n"/>
      <c r="M289" s="11" t="n"/>
      <c r="N289" s="11" t="n"/>
      <c r="O289" s="17" t="n"/>
      <c r="P289" s="17" t="n"/>
      <c r="Q289" s="17" t="n"/>
      <c r="R289" s="17" t="n"/>
      <c r="S289" s="17" t="n"/>
    </row>
    <row r="290">
      <c r="A290" s="11" t="inlineStr">
        <is>
          <t>A301410</t>
        </is>
      </c>
      <c r="B290" s="11" t="inlineStr">
        <is>
          <t>콜라원(EA)</t>
        </is>
      </c>
      <c r="C290" s="35" t="n">
        <v>7.8</v>
      </c>
      <c r="D290" s="35" t="n">
        <v>5.3</v>
      </c>
      <c r="E290" s="35" t="n">
        <v>4.4</v>
      </c>
      <c r="F290" s="35" t="n">
        <v>0.043</v>
      </c>
      <c r="G290" s="11" t="n"/>
      <c r="H290" s="16" t="inlineStr">
        <is>
          <t>Y</t>
        </is>
      </c>
      <c r="I290" s="11" t="inlineStr">
        <is>
          <t>Products.xlsx</t>
        </is>
      </c>
      <c r="J290" s="11" t="n"/>
      <c r="K290" s="11" t="n"/>
      <c r="L290" s="11" t="n"/>
      <c r="M290" s="11" t="n"/>
      <c r="N290" s="11" t="n"/>
      <c r="O290" s="17" t="n"/>
      <c r="P290" s="17" t="n"/>
      <c r="Q290" s="17" t="n"/>
      <c r="R290" s="17" t="n"/>
      <c r="S290" s="17" t="n"/>
    </row>
    <row r="291">
      <c r="A291" s="11" t="inlineStr">
        <is>
          <t>B100610</t>
        </is>
      </c>
      <c r="B291" s="11" t="inlineStr">
        <is>
          <t>메디톡신100u</t>
        </is>
      </c>
      <c r="C291" s="35" t="n">
        <v>6.9</v>
      </c>
      <c r="D291" s="35" t="n">
        <v>4.6</v>
      </c>
      <c r="E291" s="35" t="n">
        <v>3.1</v>
      </c>
      <c r="F291" s="35" t="n">
        <v>0.025</v>
      </c>
      <c r="G291" s="11" t="n"/>
      <c r="H291" s="16" t="inlineStr">
        <is>
          <t>Y</t>
        </is>
      </c>
      <c r="I291" s="11" t="inlineStr">
        <is>
          <t>Products.xlsx</t>
        </is>
      </c>
      <c r="J291" s="11" t="n"/>
      <c r="K291" s="11" t="n"/>
      <c r="L291" s="11" t="n"/>
      <c r="M291" s="11" t="n"/>
      <c r="N291" s="11" t="n"/>
      <c r="O291" s="17" t="n"/>
      <c r="P291" s="17" t="n"/>
      <c r="Q291" s="17" t="n"/>
      <c r="R291" s="17" t="n"/>
      <c r="S291" s="17" t="n"/>
    </row>
    <row r="292">
      <c r="A292" s="11" t="inlineStr">
        <is>
          <t>B100810</t>
        </is>
      </c>
      <c r="B292" s="11" t="inlineStr">
        <is>
          <t>비에녹스100u</t>
        </is>
      </c>
      <c r="C292" s="35" t="n">
        <v>7.1</v>
      </c>
      <c r="D292" s="35" t="n">
        <v>4.9</v>
      </c>
      <c r="E292" s="35" t="n">
        <v>3.7</v>
      </c>
      <c r="F292" s="35" t="n">
        <v>0.025</v>
      </c>
      <c r="G292" s="11" t="n"/>
      <c r="H292" s="16" t="inlineStr">
        <is>
          <t>Y</t>
        </is>
      </c>
      <c r="I292" s="11" t="inlineStr">
        <is>
          <t>Products.xlsx</t>
        </is>
      </c>
      <c r="J292" s="11" t="n"/>
      <c r="K292" s="11" t="n"/>
      <c r="L292" s="11" t="n"/>
      <c r="M292" s="11" t="n"/>
      <c r="N292" s="11" t="n"/>
      <c r="O292" s="17" t="n"/>
      <c r="P292" s="17" t="n"/>
      <c r="Q292" s="17" t="n"/>
      <c r="R292" s="17" t="n"/>
      <c r="S292" s="17" t="n"/>
    </row>
    <row r="293">
      <c r="A293" s="11" t="inlineStr">
        <is>
          <t>B100815</t>
        </is>
      </c>
      <c r="B293" s="11" t="inlineStr">
        <is>
          <t>비에녹스200u</t>
        </is>
      </c>
      <c r="C293" s="35" t="n">
        <v>7.1</v>
      </c>
      <c r="D293" s="35" t="n">
        <v>4.9</v>
      </c>
      <c r="E293" s="35" t="n">
        <v>3.7</v>
      </c>
      <c r="F293" s="35" t="n">
        <v>0.025</v>
      </c>
      <c r="G293" s="11" t="n"/>
      <c r="H293" s="16" t="inlineStr">
        <is>
          <t>Y</t>
        </is>
      </c>
      <c r="I293" s="11" t="inlineStr">
        <is>
          <t>Products.xlsx</t>
        </is>
      </c>
      <c r="J293" s="11" t="n"/>
      <c r="K293" s="11" t="n"/>
      <c r="L293" s="11" t="n"/>
      <c r="M293" s="11" t="n"/>
      <c r="N293" s="11" t="n"/>
      <c r="O293" s="17" t="n"/>
      <c r="P293" s="17" t="n"/>
      <c r="Q293" s="17" t="n"/>
      <c r="R293" s="17" t="n"/>
      <c r="S293" s="17" t="n"/>
    </row>
    <row r="294">
      <c r="A294" s="11" t="inlineStr">
        <is>
          <t>B150305</t>
        </is>
      </c>
      <c r="B294" s="11" t="inlineStr">
        <is>
          <t>롤리톡스100u</t>
        </is>
      </c>
      <c r="C294" s="35" t="n">
        <v>7.2</v>
      </c>
      <c r="D294" s="35" t="n">
        <v>4.9</v>
      </c>
      <c r="E294" s="35" t="n">
        <v>3.7</v>
      </c>
      <c r="F294" s="35" t="n">
        <v>0.026</v>
      </c>
      <c r="G294" s="11" t="n"/>
      <c r="H294" s="16" t="inlineStr">
        <is>
          <t>Y</t>
        </is>
      </c>
      <c r="I294" s="11" t="inlineStr">
        <is>
          <t>Products.xlsx</t>
        </is>
      </c>
      <c r="J294" s="11" t="n"/>
      <c r="K294" s="11" t="n"/>
      <c r="L294" s="11" t="n"/>
      <c r="M294" s="11" t="n"/>
      <c r="N294" s="11" t="n"/>
      <c r="O294" s="17" t="n"/>
      <c r="P294" s="17" t="n"/>
      <c r="Q294" s="17" t="n"/>
      <c r="R294" s="17" t="n"/>
      <c r="S294" s="17" t="n"/>
    </row>
    <row r="295">
      <c r="A295" s="11" t="inlineStr">
        <is>
          <t>B200620</t>
        </is>
      </c>
      <c r="B295" s="11" t="inlineStr">
        <is>
          <t>더마렉스 딥 플러스</t>
        </is>
      </c>
      <c r="C295" s="35" t="n">
        <v>19.6</v>
      </c>
      <c r="D295" s="35" t="n">
        <v>7.3</v>
      </c>
      <c r="E295" s="35" t="n">
        <v>2.8</v>
      </c>
      <c r="F295" s="35" t="n">
        <v>0.042</v>
      </c>
      <c r="G295" s="11" t="n"/>
      <c r="H295" s="16" t="inlineStr">
        <is>
          <t>Y</t>
        </is>
      </c>
      <c r="I295" s="11" t="inlineStr">
        <is>
          <t>Products.xlsx</t>
        </is>
      </c>
      <c r="J295" s="11" t="n"/>
      <c r="K295" s="11" t="n"/>
      <c r="L295" s="11" t="n"/>
      <c r="M295" s="11" t="inlineStr">
        <is>
          <t>BOX_CAP_BX010_300_BX008_200</t>
        </is>
      </c>
      <c r="N295" s="11" t="n"/>
      <c r="O295" s="17" t="n"/>
      <c r="P295" s="17" t="n"/>
      <c r="Q295" s="17" t="n"/>
      <c r="R295" s="17" t="n"/>
      <c r="S295" s="17" t="n"/>
    </row>
    <row r="296">
      <c r="A296" s="11" t="inlineStr">
        <is>
          <t>B200630</t>
        </is>
      </c>
      <c r="B296" s="11" t="inlineStr">
        <is>
          <t>더마렉스 플러스</t>
        </is>
      </c>
      <c r="C296" s="35" t="n">
        <v>19.6</v>
      </c>
      <c r="D296" s="35" t="n">
        <v>7.3</v>
      </c>
      <c r="E296" s="35" t="n">
        <v>2.8</v>
      </c>
      <c r="F296" s="35" t="n">
        <v>0.042</v>
      </c>
      <c r="G296" s="11" t="n"/>
      <c r="H296" s="16" t="inlineStr">
        <is>
          <t>Y</t>
        </is>
      </c>
      <c r="I296" s="11" t="inlineStr">
        <is>
          <t>Products.xlsx</t>
        </is>
      </c>
      <c r="J296" s="11" t="n"/>
      <c r="K296" s="11" t="n"/>
      <c r="L296" s="11" t="n"/>
      <c r="M296" s="11" t="inlineStr">
        <is>
          <t>BOX_CAP_BX010_300_BX008_200</t>
        </is>
      </c>
      <c r="N296" s="11" t="n"/>
      <c r="O296" s="17" t="n"/>
      <c r="P296" s="17" t="n"/>
      <c r="Q296" s="17" t="n"/>
      <c r="R296" s="17" t="n"/>
      <c r="S296" s="17" t="n"/>
    </row>
    <row r="297">
      <c r="A297" s="11" t="inlineStr">
        <is>
          <t>B203370</t>
        </is>
      </c>
      <c r="B297" s="11" t="inlineStr">
        <is>
          <t>비엔필 볼륨 (CE)</t>
        </is>
      </c>
      <c r="C297" s="35" t="n">
        <v>19.9</v>
      </c>
      <c r="D297" s="35" t="n">
        <v>6.8</v>
      </c>
      <c r="E297" s="35" t="n">
        <v>2.7</v>
      </c>
      <c r="F297" s="35" t="n">
        <v>0.044</v>
      </c>
      <c r="G297" s="11" t="n"/>
      <c r="H297" s="16" t="inlineStr">
        <is>
          <t>Y</t>
        </is>
      </c>
      <c r="I297" s="11" t="inlineStr">
        <is>
          <t>Products.xlsx</t>
        </is>
      </c>
      <c r="J297" s="11" t="n"/>
      <c r="K297" s="11" t="n"/>
      <c r="L297" s="11" t="n"/>
      <c r="M297" s="11" t="n"/>
      <c r="N297" s="11" t="n"/>
      <c r="O297" s="17" t="n"/>
      <c r="P297" s="17" t="n"/>
      <c r="Q297" s="17" t="n"/>
      <c r="R297" s="17" t="n"/>
      <c r="S297" s="17" t="n"/>
    </row>
    <row r="298">
      <c r="A298" s="11" t="inlineStr">
        <is>
          <t>B203380</t>
        </is>
      </c>
      <c r="B298" s="11" t="inlineStr">
        <is>
          <t>비엔필 딥 (CE)</t>
        </is>
      </c>
      <c r="C298" s="35" t="n">
        <v>19.9</v>
      </c>
      <c r="D298" s="35" t="n">
        <v>6.8</v>
      </c>
      <c r="E298" s="35" t="n">
        <v>2.7</v>
      </c>
      <c r="F298" s="35" t="n">
        <v>0.044</v>
      </c>
      <c r="G298" s="11" t="n"/>
      <c r="H298" s="16" t="inlineStr">
        <is>
          <t>Y</t>
        </is>
      </c>
      <c r="I298" s="11" t="inlineStr">
        <is>
          <t>Products.xlsx</t>
        </is>
      </c>
      <c r="J298" s="11" t="n"/>
      <c r="K298" s="11" t="n"/>
      <c r="L298" s="11" t="n"/>
      <c r="M298" s="11" t="n"/>
      <c r="N298" s="11" t="n"/>
      <c r="O298" s="17" t="n"/>
      <c r="P298" s="17" t="n"/>
      <c r="Q298" s="17" t="n"/>
      <c r="R298" s="17" t="n"/>
      <c r="S298" s="17" t="n"/>
    </row>
    <row r="299">
      <c r="A299" s="11" t="inlineStr">
        <is>
          <t>B203390</t>
        </is>
      </c>
      <c r="B299" s="11" t="inlineStr">
        <is>
          <t>비엔필 클래식 (CE)</t>
        </is>
      </c>
      <c r="C299" s="35" t="n">
        <v>19.9</v>
      </c>
      <c r="D299" s="35" t="n">
        <v>6.8</v>
      </c>
      <c r="E299" s="35" t="n">
        <v>2.7</v>
      </c>
      <c r="F299" s="35" t="n">
        <v>0.044</v>
      </c>
      <c r="G299" s="11" t="n"/>
      <c r="H299" s="16" t="inlineStr">
        <is>
          <t>Y</t>
        </is>
      </c>
      <c r="I299" s="11" t="inlineStr">
        <is>
          <t>Products.xlsx</t>
        </is>
      </c>
      <c r="J299" s="11" t="n"/>
      <c r="K299" s="11" t="n"/>
      <c r="L299" s="11" t="n"/>
      <c r="M299" s="11" t="n"/>
      <c r="N299" s="11" t="n"/>
      <c r="O299" s="17" t="n"/>
      <c r="P299" s="17" t="n"/>
      <c r="Q299" s="17" t="n"/>
      <c r="R299" s="17" t="n"/>
      <c r="S299" s="17" t="n"/>
    </row>
    <row r="300">
      <c r="A300" s="11" t="inlineStr">
        <is>
          <t>B203710</t>
        </is>
      </c>
      <c r="B300" s="11" t="inlineStr">
        <is>
          <t>셀로좀 엑스쉐이프</t>
        </is>
      </c>
      <c r="C300" s="35" t="n">
        <v>21.8</v>
      </c>
      <c r="D300" s="35" t="n">
        <v>7</v>
      </c>
      <c r="E300" s="35" t="n">
        <v>3.2</v>
      </c>
      <c r="F300" s="35" t="n">
        <v>0.064</v>
      </c>
      <c r="G300" s="11" t="n"/>
      <c r="H300" s="16" t="inlineStr">
        <is>
          <t>Y</t>
        </is>
      </c>
      <c r="I300" s="11" t="inlineStr">
        <is>
          <t>Products.xlsx</t>
        </is>
      </c>
      <c r="J300" s="11" t="n"/>
      <c r="K300" s="11" t="n"/>
      <c r="L300" s="11" t="n"/>
      <c r="M300" s="11" t="n"/>
      <c r="N300" s="11" t="n"/>
      <c r="O300" s="17" t="n"/>
      <c r="P300" s="17" t="n"/>
      <c r="Q300" s="17" t="n"/>
      <c r="R300" s="17" t="n"/>
      <c r="S300" s="17" t="n"/>
    </row>
    <row r="301">
      <c r="A301" s="11" t="inlineStr">
        <is>
          <t>B204450</t>
        </is>
      </c>
      <c r="B301" s="11" t="inlineStr">
        <is>
          <t>엘라비에 리투오</t>
        </is>
      </c>
      <c r="C301" s="35" t="n">
        <v>20</v>
      </c>
      <c r="D301" s="35" t="n">
        <v>8.800000000000001</v>
      </c>
      <c r="E301" s="35" t="n">
        <v>2.8</v>
      </c>
      <c r="F301" s="35" t="n">
        <v>0.053</v>
      </c>
      <c r="G301" s="11" t="n"/>
      <c r="H301" s="16" t="inlineStr">
        <is>
          <t>Y</t>
        </is>
      </c>
      <c r="I301" s="11" t="inlineStr">
        <is>
          <t>Products.xlsx</t>
        </is>
      </c>
      <c r="J301" s="11" t="n"/>
      <c r="K301" s="11" t="n"/>
      <c r="L301" s="11" t="n"/>
      <c r="M301" s="11" t="n"/>
      <c r="N301" s="11" t="n"/>
      <c r="O301" s="17" t="n"/>
      <c r="P301" s="17" t="n"/>
      <c r="Q301" s="17" t="n"/>
      <c r="R301" s="17" t="n"/>
      <c r="S301" s="17" t="n"/>
    </row>
    <row r="302">
      <c r="A302" s="11" t="inlineStr">
        <is>
          <t>B205670</t>
        </is>
      </c>
      <c r="B302" s="11" t="inlineStr">
        <is>
          <t>코레나 L</t>
        </is>
      </c>
      <c r="C302" s="35" t="n">
        <v>19.2</v>
      </c>
      <c r="D302" s="35" t="n">
        <v>7.1</v>
      </c>
      <c r="E302" s="35" t="n">
        <v>2.6</v>
      </c>
      <c r="F302" s="35" t="n">
        <v>0.046</v>
      </c>
      <c r="G302" s="11" t="n"/>
      <c r="H302" s="16" t="inlineStr">
        <is>
          <t>Y</t>
        </is>
      </c>
      <c r="I302" s="11" t="inlineStr">
        <is>
          <t>Products.xlsx</t>
        </is>
      </c>
      <c r="J302" s="11" t="n"/>
      <c r="K302" s="11" t="n"/>
      <c r="L302" s="11" t="n"/>
      <c r="M302" s="11" t="n"/>
      <c r="N302" s="11" t="n"/>
      <c r="O302" s="17" t="n"/>
      <c r="P302" s="17" t="n"/>
      <c r="Q302" s="17" t="n"/>
      <c r="R302" s="17" t="n"/>
      <c r="S302" s="17" t="n"/>
    </row>
    <row r="303">
      <c r="A303" s="11" t="inlineStr">
        <is>
          <t>B205671</t>
        </is>
      </c>
      <c r="B303" s="11" t="inlineStr">
        <is>
          <t>코레나 M</t>
        </is>
      </c>
      <c r="C303" s="35" t="n">
        <v>19.2</v>
      </c>
      <c r="D303" s="35" t="n">
        <v>7.1</v>
      </c>
      <c r="E303" s="35" t="n">
        <v>2.6</v>
      </c>
      <c r="F303" s="35" t="n">
        <v>0.046</v>
      </c>
      <c r="G303" s="11" t="n"/>
      <c r="H303" s="16" t="inlineStr">
        <is>
          <t>Y</t>
        </is>
      </c>
      <c r="I303" s="11" t="inlineStr">
        <is>
          <t>Products.xlsx</t>
        </is>
      </c>
      <c r="J303" s="11" t="n"/>
      <c r="K303" s="11" t="n"/>
      <c r="L303" s="11" t="n"/>
      <c r="M303" s="11" t="n"/>
      <c r="N303" s="11" t="n"/>
      <c r="O303" s="17" t="n"/>
      <c r="P303" s="17" t="n"/>
      <c r="Q303" s="17" t="n"/>
      <c r="R303" s="17" t="n"/>
      <c r="S303" s="17" t="n"/>
    </row>
    <row r="304">
      <c r="A304" s="11" t="inlineStr">
        <is>
          <t>B205672</t>
        </is>
      </c>
      <c r="B304" s="11" t="inlineStr">
        <is>
          <t>코레나 S</t>
        </is>
      </c>
      <c r="C304" s="35" t="n">
        <v>19.2</v>
      </c>
      <c r="D304" s="35" t="n">
        <v>7.1</v>
      </c>
      <c r="E304" s="35" t="n">
        <v>2.6</v>
      </c>
      <c r="F304" s="35" t="n">
        <v>0.046</v>
      </c>
      <c r="G304" s="11" t="n"/>
      <c r="H304" s="16" t="inlineStr">
        <is>
          <t>Y</t>
        </is>
      </c>
      <c r="I304" s="11" t="inlineStr">
        <is>
          <t>Products.xlsx</t>
        </is>
      </c>
      <c r="J304" s="11" t="n"/>
      <c r="K304" s="11" t="n"/>
      <c r="L304" s="11" t="n"/>
      <c r="M304" s="11" t="n"/>
      <c r="N304" s="11" t="n"/>
      <c r="O304" s="17" t="n"/>
      <c r="P304" s="17" t="n"/>
      <c r="Q304" s="17" t="n"/>
      <c r="R304" s="17" t="n"/>
      <c r="S304" s="17" t="n"/>
    </row>
    <row r="305">
      <c r="A305" s="11" t="inlineStr">
        <is>
          <t>B205673</t>
        </is>
      </c>
      <c r="B305" s="11" t="inlineStr">
        <is>
          <t>코레나 L (CE)</t>
        </is>
      </c>
      <c r="C305" s="35" t="n">
        <v>19.2</v>
      </c>
      <c r="D305" s="35" t="n">
        <v>7.1</v>
      </c>
      <c r="E305" s="35" t="n">
        <v>2.6</v>
      </c>
      <c r="F305" s="35" t="n">
        <v>0.046</v>
      </c>
      <c r="G305" s="11" t="n"/>
      <c r="H305" s="16" t="inlineStr">
        <is>
          <t>Y</t>
        </is>
      </c>
      <c r="I305" s="11" t="inlineStr">
        <is>
          <t>Products.xlsx</t>
        </is>
      </c>
      <c r="J305" s="11" t="n"/>
      <c r="K305" s="11" t="n"/>
      <c r="L305" s="11" t="n"/>
      <c r="M305" s="11" t="n"/>
      <c r="N305" s="11" t="n"/>
      <c r="O305" s="17" t="n"/>
      <c r="P305" s="17" t="n"/>
      <c r="Q305" s="17" t="n"/>
      <c r="R305" s="17" t="n"/>
      <c r="S305" s="17" t="n"/>
    </row>
    <row r="306">
      <c r="A306" s="11" t="inlineStr">
        <is>
          <t>B205674</t>
        </is>
      </c>
      <c r="B306" s="11" t="inlineStr">
        <is>
          <t>코레나 M (CE)</t>
        </is>
      </c>
      <c r="C306" s="35" t="n">
        <v>19.2</v>
      </c>
      <c r="D306" s="35" t="n">
        <v>7.1</v>
      </c>
      <c r="E306" s="35" t="n">
        <v>2.6</v>
      </c>
      <c r="F306" s="35" t="n">
        <v>0.046</v>
      </c>
      <c r="G306" s="11" t="n"/>
      <c r="H306" s="16" t="inlineStr">
        <is>
          <t>Y</t>
        </is>
      </c>
      <c r="I306" s="11" t="inlineStr">
        <is>
          <t>Products.xlsx</t>
        </is>
      </c>
      <c r="J306" s="11" t="n"/>
      <c r="K306" s="11" t="n"/>
      <c r="L306" s="11" t="n"/>
      <c r="M306" s="11" t="n"/>
      <c r="N306" s="11" t="n"/>
      <c r="O306" s="17" t="n"/>
      <c r="P306" s="17" t="n"/>
      <c r="Q306" s="17" t="n"/>
      <c r="R306" s="17" t="n"/>
      <c r="S306" s="17" t="n"/>
    </row>
    <row r="307">
      <c r="A307" s="11" t="inlineStr">
        <is>
          <t>B205675</t>
        </is>
      </c>
      <c r="B307" s="11" t="inlineStr">
        <is>
          <t>코레나 S (CE)</t>
        </is>
      </c>
      <c r="C307" s="35" t="n">
        <v>19.2</v>
      </c>
      <c r="D307" s="35" t="n">
        <v>7.1</v>
      </c>
      <c r="E307" s="35" t="n">
        <v>2.6</v>
      </c>
      <c r="F307" s="35" t="n">
        <v>0.046</v>
      </c>
      <c r="G307" s="11" t="n"/>
      <c r="H307" s="16" t="inlineStr">
        <is>
          <t>Y</t>
        </is>
      </c>
      <c r="I307" s="11" t="inlineStr">
        <is>
          <t>Products.xlsx</t>
        </is>
      </c>
      <c r="J307" s="11" t="n"/>
      <c r="K307" s="11" t="n"/>
      <c r="L307" s="11" t="n"/>
      <c r="M307" s="11" t="n"/>
      <c r="N307" s="11" t="n"/>
      <c r="O307" s="17" t="n"/>
      <c r="P307" s="17" t="n"/>
      <c r="Q307" s="17" t="n"/>
      <c r="R307" s="17" t="n"/>
      <c r="S307" s="17" t="n"/>
    </row>
    <row r="308">
      <c r="A308" s="11" t="inlineStr">
        <is>
          <t>B205700</t>
        </is>
      </c>
      <c r="B308" s="11" t="inlineStr">
        <is>
          <t>콜레비아</t>
        </is>
      </c>
      <c r="C308" s="35" t="n">
        <v>18.2</v>
      </c>
      <c r="D308" s="35" t="n">
        <v>6.9</v>
      </c>
      <c r="E308" s="35" t="n">
        <v>2.5</v>
      </c>
      <c r="F308" s="35" t="n">
        <v>0.042</v>
      </c>
      <c r="G308" s="11" t="n"/>
      <c r="H308" s="16" t="inlineStr">
        <is>
          <t>Y</t>
        </is>
      </c>
      <c r="I308" s="11" t="inlineStr">
        <is>
          <t>Products.xlsx</t>
        </is>
      </c>
      <c r="J308" s="11" t="n"/>
      <c r="K308" s="11" t="n"/>
      <c r="L308" s="11" t="n"/>
      <c r="M308" s="11" t="n"/>
      <c r="N308" s="11" t="n"/>
      <c r="O308" s="17" t="n"/>
      <c r="P308" s="17" t="n"/>
      <c r="Q308" s="17" t="n"/>
      <c r="R308" s="17" t="n"/>
      <c r="S308" s="17" t="n"/>
    </row>
    <row r="309">
      <c r="A309" s="11" t="inlineStr">
        <is>
          <t>B205940</t>
        </is>
      </c>
      <c r="B309" s="11" t="inlineStr">
        <is>
          <t>테소로 루즈</t>
        </is>
      </c>
      <c r="C309" s="35" t="n">
        <v>18.4</v>
      </c>
      <c r="D309" s="35" t="n">
        <v>7</v>
      </c>
      <c r="E309" s="35" t="n">
        <v>2.1</v>
      </c>
      <c r="F309" s="35" t="n">
        <v>0.036</v>
      </c>
      <c r="G309" s="11" t="n"/>
      <c r="H309" s="16" t="inlineStr">
        <is>
          <t>Y</t>
        </is>
      </c>
      <c r="I309" s="11" t="inlineStr">
        <is>
          <t>Products.xlsx</t>
        </is>
      </c>
      <c r="J309" s="11" t="n"/>
      <c r="K309" s="11" t="n"/>
      <c r="L309" s="11" t="n"/>
      <c r="M309" s="11" t="n"/>
      <c r="N309" s="11" t="n"/>
      <c r="O309" s="17" t="n"/>
      <c r="P309" s="17" t="n"/>
      <c r="Q309" s="17" t="n"/>
      <c r="R309" s="17" t="n"/>
      <c r="S309" s="17" t="n"/>
    </row>
    <row r="310">
      <c r="A310" s="11" t="inlineStr">
        <is>
          <t>B205950</t>
        </is>
      </c>
      <c r="B310" s="11" t="inlineStr">
        <is>
          <t>테소로 바디 60ml</t>
        </is>
      </c>
      <c r="C310" s="35" t="n">
        <v>11.5</v>
      </c>
      <c r="D310" s="35" t="n">
        <v>7</v>
      </c>
      <c r="E310" s="35" t="n">
        <v>5.5</v>
      </c>
      <c r="F310" s="35" t="n">
        <v>0.192</v>
      </c>
      <c r="G310" s="11" t="n"/>
      <c r="H310" s="16" t="inlineStr">
        <is>
          <t>Y</t>
        </is>
      </c>
      <c r="I310" s="11" t="inlineStr">
        <is>
          <t>Products.xlsx</t>
        </is>
      </c>
      <c r="J310" s="11" t="n"/>
      <c r="K310" s="11" t="n"/>
      <c r="L310" s="11" t="n"/>
      <c r="M310" s="11" t="n"/>
      <c r="N310" s="11" t="n"/>
      <c r="O310" s="17" t="n"/>
      <c r="P310" s="17" t="n"/>
      <c r="Q310" s="17" t="n"/>
      <c r="R310" s="17" t="n"/>
      <c r="S310" s="17" t="n"/>
    </row>
    <row r="311">
      <c r="A311" s="11" t="inlineStr">
        <is>
          <t>B205970</t>
        </is>
      </c>
      <c r="B311" s="11" t="inlineStr">
        <is>
          <t>테소로 콜라겐</t>
        </is>
      </c>
      <c r="C311" s="35" t="n">
        <v>18.2</v>
      </c>
      <c r="D311" s="35" t="n">
        <v>6.9</v>
      </c>
      <c r="E311" s="35" t="n">
        <v>2.4</v>
      </c>
      <c r="F311" s="35" t="n">
        <v>0.041</v>
      </c>
      <c r="G311" s="11" t="n"/>
      <c r="H311" s="16" t="inlineStr">
        <is>
          <t>Y</t>
        </is>
      </c>
      <c r="I311" s="11" t="inlineStr">
        <is>
          <t>Products.xlsx</t>
        </is>
      </c>
      <c r="J311" s="11" t="n"/>
      <c r="K311" s="11" t="n"/>
      <c r="L311" s="11" t="n"/>
      <c r="M311" s="11" t="n"/>
      <c r="N311" s="11" t="n"/>
      <c r="O311" s="17" t="n"/>
      <c r="P311" s="17" t="n"/>
      <c r="Q311" s="17" t="n"/>
      <c r="R311" s="17" t="n"/>
      <c r="S311" s="17" t="n"/>
    </row>
    <row r="312" ht="30" customHeight="1" s="42">
      <c r="A312" s="11" t="inlineStr">
        <is>
          <t>B300470</t>
        </is>
      </c>
      <c r="B312" s="11" t="inlineStr">
        <is>
          <t>노바 NAD</t>
        </is>
      </c>
      <c r="C312" s="35" t="n">
        <v>6.4</v>
      </c>
      <c r="D312" s="35" t="n">
        <v>3.7</v>
      </c>
      <c r="E312" s="35" t="n">
        <v>3.1</v>
      </c>
      <c r="F312" s="35" t="n">
        <v>0.018</v>
      </c>
      <c r="G312" s="11" t="n"/>
      <c r="H312" s="16" t="inlineStr">
        <is>
          <t>Y</t>
        </is>
      </c>
      <c r="I312" s="11" t="inlineStr">
        <is>
          <t>Products.xlsx</t>
        </is>
      </c>
      <c r="J312" s="11" t="n"/>
      <c r="K312" s="11" t="n"/>
      <c r="L312" s="11" t="n"/>
      <c r="M312" s="11" t="n"/>
      <c r="N312" s="11" t="n"/>
      <c r="O312" s="17" t="n"/>
      <c r="P312" s="17" t="n"/>
      <c r="Q312" s="17" t="n"/>
      <c r="R312" s="17" t="n"/>
      <c r="S312" s="17" t="n"/>
    </row>
    <row r="313" ht="30" customHeight="1" s="42">
      <c r="A313" s="11" t="inlineStr">
        <is>
          <t>B301110</t>
        </is>
      </c>
      <c r="B313" s="11" t="inlineStr">
        <is>
          <t>데네브 클래식 에이치 리도</t>
        </is>
      </c>
      <c r="C313" s="35" t="n">
        <v>18.3</v>
      </c>
      <c r="D313" s="35" t="n">
        <v>9</v>
      </c>
      <c r="E313" s="35" t="n">
        <v>5</v>
      </c>
      <c r="F313" s="35" t="n">
        <v>0.244</v>
      </c>
      <c r="G313" s="11" t="n"/>
      <c r="H313" s="16" t="inlineStr">
        <is>
          <t>Y</t>
        </is>
      </c>
      <c r="I313" s="11" t="inlineStr">
        <is>
          <t>Products.xlsx</t>
        </is>
      </c>
      <c r="J313" s="11" t="n"/>
      <c r="K313" s="11" t="n"/>
      <c r="L313" s="11" t="n"/>
      <c r="M313" s="11" t="n"/>
      <c r="N313" s="11" t="n"/>
      <c r="O313" s="17" t="n"/>
      <c r="P313" s="17" t="n"/>
      <c r="Q313" s="17" t="n"/>
      <c r="R313" s="17" t="n"/>
      <c r="S313" s="17" t="n"/>
    </row>
    <row r="314" ht="30" customHeight="1" s="42">
      <c r="A314" s="11" t="inlineStr">
        <is>
          <t>B302100</t>
        </is>
      </c>
      <c r="B314" s="11" t="inlineStr">
        <is>
          <t>리쥬란 힐러 2.7cc</t>
        </is>
      </c>
      <c r="C314" s="35" t="n">
        <v>23.4</v>
      </c>
      <c r="D314" s="35" t="n">
        <v>9</v>
      </c>
      <c r="E314" s="35" t="n">
        <v>5.6</v>
      </c>
      <c r="F314" s="35" t="n">
        <v>0.136</v>
      </c>
      <c r="G314" s="11" t="n"/>
      <c r="H314" s="16" t="inlineStr">
        <is>
          <t>Y</t>
        </is>
      </c>
      <c r="I314" s="11" t="inlineStr">
        <is>
          <t>Products.xlsx</t>
        </is>
      </c>
      <c r="J314" s="11" t="n"/>
      <c r="K314" s="11" t="n"/>
      <c r="L314" s="11" t="n"/>
      <c r="M314" s="11" t="n"/>
      <c r="N314" s="11" t="n"/>
      <c r="O314" s="17" t="n"/>
      <c r="P314" s="17" t="n"/>
      <c r="Q314" s="17" t="n"/>
      <c r="R314" s="17" t="n"/>
      <c r="S314" s="17" t="n"/>
    </row>
    <row r="315" ht="30" customHeight="1" s="42">
      <c r="A315" s="11" t="inlineStr">
        <is>
          <t>B302130</t>
        </is>
      </c>
      <c r="B315" s="11" t="inlineStr">
        <is>
          <t>리쥬란 엘라스킨</t>
        </is>
      </c>
      <c r="C315" s="35" t="n">
        <v>23.9</v>
      </c>
      <c r="D315" s="35" t="n">
        <v>9</v>
      </c>
      <c r="E315" s="35" t="n">
        <v>5.6</v>
      </c>
      <c r="F315" s="35" t="n">
        <v>0.13</v>
      </c>
      <c r="G315" s="11" t="n"/>
      <c r="H315" s="16" t="inlineStr">
        <is>
          <t>Y</t>
        </is>
      </c>
      <c r="I315" s="11" t="inlineStr">
        <is>
          <t>Products.xlsx</t>
        </is>
      </c>
      <c r="J315" s="11" t="n"/>
      <c r="K315" s="11" t="n"/>
      <c r="L315" s="11" t="n"/>
      <c r="M315" s="11" t="n"/>
      <c r="N315" s="11" t="n"/>
      <c r="O315" s="17" t="n"/>
      <c r="P315" s="17" t="n"/>
      <c r="Q315" s="17" t="n"/>
      <c r="R315" s="17" t="n"/>
      <c r="S315" s="17" t="n"/>
    </row>
    <row r="316">
      <c r="A316" s="11" t="inlineStr">
        <is>
          <t>B302425</t>
        </is>
      </c>
      <c r="B316" s="11" t="inlineStr">
        <is>
          <t>리쥬란 리커버 부스팅 젤</t>
        </is>
      </c>
      <c r="C316" s="35" t="n">
        <v>20.3</v>
      </c>
      <c r="D316" s="35" t="n">
        <v>5.8</v>
      </c>
      <c r="E316" s="35" t="n">
        <v>5.7</v>
      </c>
      <c r="F316" s="35" t="n">
        <v>0.254</v>
      </c>
      <c r="G316" s="11" t="n"/>
      <c r="H316" s="16" t="inlineStr">
        <is>
          <t>Y</t>
        </is>
      </c>
      <c r="I316" s="11" t="inlineStr">
        <is>
          <t>Products.xlsx</t>
        </is>
      </c>
      <c r="J316" s="11" t="n"/>
      <c r="K316" s="11" t="n"/>
      <c r="L316" s="11" t="n"/>
      <c r="M316" s="11" t="n"/>
      <c r="N316" s="11" t="n"/>
      <c r="O316" s="17" t="n"/>
      <c r="P316" s="17" t="n"/>
      <c r="Q316" s="17" t="n"/>
      <c r="R316" s="17" t="n"/>
      <c r="S316" s="17" t="n"/>
    </row>
    <row r="317">
      <c r="A317" s="11" t="inlineStr">
        <is>
          <t>B304210</t>
        </is>
      </c>
      <c r="B317" s="11" t="inlineStr">
        <is>
          <t>센트립 20mg</t>
        </is>
      </c>
      <c r="C317" s="35" t="n">
        <v>11.5</v>
      </c>
      <c r="D317" s="35" t="n">
        <v>9.6</v>
      </c>
      <c r="E317" s="35" t="n">
        <v>8.199999999999999</v>
      </c>
      <c r="F317" s="35" t="n">
        <v>0.266</v>
      </c>
      <c r="G317" s="11" t="n"/>
      <c r="H317" s="16" t="inlineStr">
        <is>
          <t>Y</t>
        </is>
      </c>
      <c r="I317" s="11" t="inlineStr">
        <is>
          <t>Products.xlsx</t>
        </is>
      </c>
      <c r="J317" s="11" t="n"/>
      <c r="K317" s="11" t="n"/>
      <c r="L317" s="11" t="n"/>
      <c r="M317" s="11" t="n"/>
      <c r="N317" s="11" t="n"/>
      <c r="O317" s="17" t="n"/>
      <c r="P317" s="17" t="n"/>
      <c r="Q317" s="17" t="n"/>
      <c r="R317" s="17" t="n"/>
      <c r="S317" s="17" t="n"/>
    </row>
    <row r="318">
      <c r="A318" s="11" t="inlineStr">
        <is>
          <t>B306310</t>
        </is>
      </c>
      <c r="B318" s="11" t="inlineStr">
        <is>
          <t>에스테필</t>
        </is>
      </c>
      <c r="C318" s="35" t="n">
        <v>9.699999999999999</v>
      </c>
      <c r="D318" s="35" t="n">
        <v>5.5</v>
      </c>
      <c r="E318" s="35" t="n">
        <v>4.4</v>
      </c>
      <c r="F318" s="35" t="n">
        <v>0.039</v>
      </c>
      <c r="G318" s="11" t="n"/>
      <c r="H318" s="16" t="inlineStr">
        <is>
          <t>Y</t>
        </is>
      </c>
      <c r="I318" s="11" t="inlineStr">
        <is>
          <t>Products.xlsx</t>
        </is>
      </c>
      <c r="J318" s="11" t="n"/>
      <c r="K318" s="11" t="n"/>
      <c r="L318" s="11" t="n"/>
      <c r="M318" s="11" t="n"/>
      <c r="N318" s="11" t="n"/>
      <c r="O318" s="17" t="n"/>
      <c r="P318" s="17" t="n"/>
      <c r="Q318" s="17" t="n"/>
      <c r="R318" s="17" t="n"/>
      <c r="S318" s="17" t="n"/>
    </row>
    <row r="319">
      <c r="A319" s="11" t="inlineStr">
        <is>
          <t>B307450</t>
        </is>
      </c>
      <c r="B319" s="11" t="inlineStr">
        <is>
          <t>워너필 하드</t>
        </is>
      </c>
      <c r="C319" s="35" t="n">
        <v>11.8</v>
      </c>
      <c r="D319" s="35" t="n">
        <v>7.8</v>
      </c>
      <c r="E319" s="35" t="n">
        <v>5.3</v>
      </c>
      <c r="F319" s="35" t="n">
        <v>0.177</v>
      </c>
      <c r="G319" s="11" t="n"/>
      <c r="H319" s="16" t="inlineStr">
        <is>
          <t>Y</t>
        </is>
      </c>
      <c r="I319" s="11" t="inlineStr">
        <is>
          <t>Products.xlsx</t>
        </is>
      </c>
      <c r="J319" s="11" t="n"/>
      <c r="K319" s="11" t="n"/>
      <c r="L319" s="11" t="n"/>
      <c r="M319" s="11" t="n"/>
      <c r="N319" s="11" t="n"/>
      <c r="O319" s="17" t="n"/>
      <c r="P319" s="17" t="n"/>
      <c r="Q319" s="17" t="n"/>
      <c r="R319" s="17" t="n"/>
      <c r="S319" s="17" t="n"/>
    </row>
    <row r="320">
      <c r="A320" s="11" t="inlineStr">
        <is>
          <t>B307909</t>
        </is>
      </c>
      <c r="B320" s="11" t="inlineStr">
        <is>
          <t>키아라 2.7ml</t>
        </is>
      </c>
      <c r="C320" s="35" t="n">
        <v>20</v>
      </c>
      <c r="D320" s="35" t="n">
        <v>7.9</v>
      </c>
      <c r="E320" s="35" t="n">
        <v>2.9</v>
      </c>
      <c r="F320" s="35" t="n">
        <v>0.05</v>
      </c>
      <c r="G320" s="11" t="n"/>
      <c r="H320" s="16" t="inlineStr">
        <is>
          <t>Y</t>
        </is>
      </c>
      <c r="I320" s="11" t="inlineStr">
        <is>
          <t>Products.xlsx</t>
        </is>
      </c>
      <c r="J320" s="11" t="n"/>
      <c r="K320" s="11" t="n"/>
      <c r="L320" s="11" t="n"/>
      <c r="M320" s="11" t="n"/>
      <c r="N320" s="11" t="n"/>
      <c r="O320" s="17" t="n"/>
      <c r="P320" s="17" t="n"/>
      <c r="Q320" s="17" t="n"/>
      <c r="R320" s="17" t="n"/>
      <c r="S320" s="17" t="n"/>
    </row>
    <row r="321">
      <c r="A321" s="11" t="inlineStr">
        <is>
          <t>B308090</t>
        </is>
      </c>
      <c r="B321" s="11" t="inlineStr">
        <is>
          <t>퓨리아이즈 PDRN 패치</t>
        </is>
      </c>
      <c r="C321" s="35" t="n">
        <v>8</v>
      </c>
      <c r="D321" s="35" t="n">
        <v>8</v>
      </c>
      <c r="E321" s="35" t="n">
        <v>4.3</v>
      </c>
      <c r="F321" s="35" t="n">
        <v>0.18</v>
      </c>
      <c r="G321" s="11" t="n"/>
      <c r="H321" s="16" t="inlineStr">
        <is>
          <t>Y</t>
        </is>
      </c>
      <c r="I321" s="11" t="inlineStr">
        <is>
          <t>Products.xlsx</t>
        </is>
      </c>
      <c r="J321" s="11" t="n"/>
      <c r="K321" s="11" t="n"/>
      <c r="L321" s="11" t="n"/>
      <c r="M321" s="11" t="n"/>
      <c r="N321" s="11" t="n"/>
      <c r="O321" s="17" t="n"/>
      <c r="P321" s="17" t="n"/>
      <c r="Q321" s="17" t="n"/>
      <c r="R321" s="17" t="n"/>
      <c r="S321" s="17" t="n"/>
    </row>
    <row r="322">
      <c r="A322" s="11" t="inlineStr">
        <is>
          <t>B308095</t>
        </is>
      </c>
      <c r="B322" s="11" t="inlineStr">
        <is>
          <t>퓨리콜 Rh</t>
        </is>
      </c>
      <c r="C322" s="35" t="n">
        <v>18.3</v>
      </c>
      <c r="D322" s="35" t="n">
        <v>6.9</v>
      </c>
      <c r="E322" s="35" t="n">
        <v>2.5</v>
      </c>
      <c r="F322" s="35" t="n">
        <v>0.044</v>
      </c>
      <c r="G322" s="11" t="n"/>
      <c r="H322" s="16" t="inlineStr">
        <is>
          <t>Y</t>
        </is>
      </c>
      <c r="I322" s="11" t="inlineStr">
        <is>
          <t>Products.xlsx</t>
        </is>
      </c>
      <c r="J322" s="11" t="n"/>
      <c r="K322" s="11" t="n"/>
      <c r="L322" s="11" t="n"/>
      <c r="M322" s="11" t="n"/>
      <c r="N322" s="11" t="n"/>
      <c r="O322" s="17" t="n"/>
      <c r="P322" s="17" t="n"/>
      <c r="Q322" s="17" t="n"/>
      <c r="R322" s="17" t="n"/>
      <c r="S322" s="17" t="n"/>
    </row>
    <row r="328" ht="30" customHeight="1" s="42"/>
    <row r="329" ht="30" customHeight="1" s="42"/>
    <row r="330" ht="30" customHeight="1" s="42"/>
    <row r="348" ht="30" customHeight="1" s="42"/>
    <row r="357" ht="30" customHeight="1" s="42"/>
    <row r="358" ht="30" customHeight="1" s="42"/>
    <row r="362" ht="30" customHeight="1" s="42"/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0" zoomScale="85" zoomScaleNormal="85" workbookViewId="0">
      <selection activeCell="O19" sqref="O19"/>
    </sheetView>
  </sheetViews>
  <sheetFormatPr baseColWidth="8" defaultRowHeight="15"/>
  <cols>
    <col width="9.28515625" customWidth="1" style="42" min="1" max="1"/>
    <col width="25.28515625" bestFit="1" customWidth="1" style="42" min="2" max="2"/>
    <col width="13.28515625" customWidth="1" style="42" min="3" max="3"/>
    <col width="15.42578125" customWidth="1" style="42" min="4" max="6"/>
    <col width="15" customWidth="1" style="42" min="7" max="7"/>
    <col width="17.28515625" customWidth="1" style="42" min="8" max="8"/>
    <col width="9.28515625" customWidth="1" style="42" min="9" max="9"/>
    <col width="20.28515625" customWidth="1" style="42" min="10" max="10"/>
    <col width="20" customWidth="1" style="42" min="11" max="11"/>
    <col width="15" customWidth="1" style="42" min="12" max="12"/>
    <col width="18" customWidth="1" style="42" min="13" max="13"/>
    <col width="16" customWidth="1" style="42" min="14" max="15"/>
    <col width="14" customWidth="1" style="42" min="16" max="16"/>
    <col width="42" customWidth="1" style="42" min="17" max="17"/>
  </cols>
  <sheetData>
    <row r="1" ht="24" customHeight="1" s="42">
      <c r="A1" s="41" t="inlineStr">
        <is>
          <t>패키지 상품 정보.xlsx 기준 정규화</t>
        </is>
      </c>
    </row>
    <row r="3" ht="32.1" customHeight="1" s="42">
      <c r="A3" s="43" t="inlineStr">
        <is>
          <t>상품코드</t>
        </is>
      </c>
      <c r="B3" s="43" t="inlineStr">
        <is>
          <t>국문상품명</t>
        </is>
      </c>
      <c r="C3" s="43" t="inlineStr">
        <is>
          <t>패키지입수량</t>
        </is>
      </c>
      <c r="D3" s="43" t="inlineStr">
        <is>
          <t>패키지가로(cm)</t>
        </is>
      </c>
      <c r="E3" s="43" t="inlineStr">
        <is>
          <t>패키지세로(cm)</t>
        </is>
      </c>
      <c r="F3" s="43" t="inlineStr">
        <is>
          <t>패키지높이(cm)</t>
        </is>
      </c>
      <c r="G3" s="43" t="inlineStr">
        <is>
          <t>패키지중량(kg)</t>
        </is>
      </c>
      <c r="H3" s="43" t="inlineStr">
        <is>
          <t>패키지해체정책</t>
        </is>
      </c>
      <c r="I3" s="43" t="inlineStr">
        <is>
          <t>사용여부</t>
        </is>
      </c>
      <c r="J3" s="43" t="inlineStr">
        <is>
          <t>원본파일</t>
        </is>
      </c>
      <c r="K3" s="43" t="inlineStr">
        <is>
          <t>엔진기본처리정책</t>
        </is>
      </c>
      <c r="L3" s="43" t="inlineStr">
        <is>
          <t>패키지BOM존재여부</t>
        </is>
      </c>
      <c r="M3" s="43" t="inlineStr">
        <is>
          <t>해체허용조건</t>
        </is>
      </c>
      <c r="N3" s="43" t="inlineStr">
        <is>
          <t>해체후계산단위</t>
        </is>
      </c>
      <c r="O3" s="43" t="inlineStr">
        <is>
          <t>잔량처리방식</t>
        </is>
      </c>
      <c r="P3" s="43" t="inlineStr">
        <is>
          <t>데이터검증상태</t>
        </is>
      </c>
      <c r="Q3" s="43" t="inlineStr">
        <is>
          <t>검증메모</t>
        </is>
      </c>
    </row>
    <row r="4" ht="30" customHeight="1" s="42">
      <c r="A4" s="46" t="inlineStr">
        <is>
          <t>A100410</t>
        </is>
      </c>
      <c r="B4" s="46" t="inlineStr">
        <is>
          <t>독스100u</t>
        </is>
      </c>
      <c r="C4" s="8" t="n">
        <v>10</v>
      </c>
      <c r="D4" s="55" t="n">
        <v>18.9</v>
      </c>
      <c r="E4" s="8" t="n">
        <v>10</v>
      </c>
      <c r="F4" s="55" t="n">
        <v>7.4</v>
      </c>
      <c r="G4" s="55" t="n">
        <v>0.291</v>
      </c>
      <c r="H4" s="46" t="inlineStr">
        <is>
          <t>잔량처리시만허용</t>
        </is>
      </c>
      <c r="I4" s="9" t="inlineStr">
        <is>
          <t>Y</t>
        </is>
      </c>
      <c r="J4" s="46" t="inlineStr">
        <is>
          <t>패키지 상품 정보.xlsx</t>
        </is>
      </c>
      <c r="K4" s="46" t="inlineStr">
        <is>
          <t>PACKAGE_AS_IS_FIRST</t>
        </is>
      </c>
      <c r="L4" s="46">
        <f>IF(COUNTIF(package_bom_master!$A:$A,A4)&gt;0,"Y","N")</f>
        <v/>
      </c>
      <c r="M4" s="46" t="inlineStr">
        <is>
          <t>NEED_AND_BOM_ONLY</t>
        </is>
      </c>
      <c r="N4" s="46" t="inlineStr">
        <is>
          <t>COMPONENT</t>
        </is>
      </c>
      <c r="O4" s="46" t="inlineStr">
        <is>
          <t>KEEP_PACKAGE_UNIT</t>
        </is>
      </c>
      <c r="P4" s="46">
        <f>IF(COUNTA(D4:G4)=4,"OK","MANUAL_REVIEW")</f>
        <v/>
      </c>
      <c r="Q4" s="46" t="inlineStr">
        <is>
          <t>기본은 패키지 상태 그대로 계산. BOM 존재 + 정책 허용 + 필요 시에만 해체.</t>
        </is>
      </c>
    </row>
    <row r="5" ht="30" customHeight="1" s="42">
      <c r="A5" s="46" t="inlineStr">
        <is>
          <t>A100110</t>
        </is>
      </c>
      <c r="B5" s="46" t="inlineStr">
        <is>
          <t>레드톡스100u</t>
        </is>
      </c>
      <c r="C5" s="8" t="n">
        <v>10</v>
      </c>
      <c r="D5" s="55" t="n">
        <v>18.9</v>
      </c>
      <c r="E5" s="8" t="n">
        <v>10</v>
      </c>
      <c r="F5" s="55" t="n">
        <v>7.4</v>
      </c>
      <c r="G5" s="55" t="n">
        <v>0.291</v>
      </c>
      <c r="H5" s="46" t="inlineStr">
        <is>
          <t>잔량처리시만허용</t>
        </is>
      </c>
      <c r="I5" s="9" t="inlineStr">
        <is>
          <t>Y</t>
        </is>
      </c>
      <c r="J5" s="46" t="inlineStr">
        <is>
          <t>패키지 상품 정보.xlsx</t>
        </is>
      </c>
      <c r="K5" s="46" t="inlineStr">
        <is>
          <t>PACKAGE_AS_IS_FIRST</t>
        </is>
      </c>
      <c r="L5" s="46">
        <f>IF(COUNTIF(package_bom_master!$A:$A,A5)&gt;0,"Y","N")</f>
        <v/>
      </c>
      <c r="M5" s="46" t="inlineStr">
        <is>
          <t>NEED_AND_BOM_ONLY</t>
        </is>
      </c>
      <c r="N5" s="46" t="inlineStr">
        <is>
          <t>COMPONENT</t>
        </is>
      </c>
      <c r="O5" s="46" t="inlineStr">
        <is>
          <t>KEEP_PACKAGE_UNIT</t>
        </is>
      </c>
      <c r="P5" s="46">
        <f>IF(COUNTA(D5:G5)=4,"OK","MANUAL_REVIEW")</f>
        <v/>
      </c>
      <c r="Q5" s="46" t="inlineStr">
        <is>
          <t>기본은 패키지 상태 그대로 계산. BOM 존재 + 정책 허용 + 필요 시에만 해체.</t>
        </is>
      </c>
    </row>
    <row r="6" ht="30" customHeight="1" s="42">
      <c r="A6" s="46" t="inlineStr">
        <is>
          <t>A100120</t>
        </is>
      </c>
      <c r="B6" s="46" t="inlineStr">
        <is>
          <t>레드톡스200u</t>
        </is>
      </c>
      <c r="C6" s="8" t="n">
        <v>10</v>
      </c>
      <c r="D6" s="55" t="n">
        <v>18.9</v>
      </c>
      <c r="E6" s="8" t="n">
        <v>10</v>
      </c>
      <c r="F6" s="55" t="n">
        <v>7.4</v>
      </c>
      <c r="G6" s="55" t="n">
        <v>0.291</v>
      </c>
      <c r="H6" s="46" t="inlineStr">
        <is>
          <t>잔량처리시만허용</t>
        </is>
      </c>
      <c r="I6" s="9" t="inlineStr">
        <is>
          <t>Y</t>
        </is>
      </c>
      <c r="J6" s="46" t="inlineStr">
        <is>
          <t>패키지 상품 정보.xlsx</t>
        </is>
      </c>
      <c r="K6" s="46" t="inlineStr">
        <is>
          <t>PACKAGE_AS_IS_FIRST</t>
        </is>
      </c>
      <c r="L6" s="46">
        <f>IF(COUNTIF(package_bom_master!$A:$A,A6)&gt;0,"Y","N")</f>
        <v/>
      </c>
      <c r="M6" s="46" t="inlineStr">
        <is>
          <t>NEED_AND_BOM_ONLY</t>
        </is>
      </c>
      <c r="N6" s="46" t="inlineStr">
        <is>
          <t>COMPONENT</t>
        </is>
      </c>
      <c r="O6" s="46" t="inlineStr">
        <is>
          <t>KEEP_PACKAGE_UNIT</t>
        </is>
      </c>
      <c r="P6" s="46">
        <f>IF(COUNTA(D6:G6)=4,"OK","MANUAL_REVIEW")</f>
        <v/>
      </c>
      <c r="Q6" s="46" t="inlineStr">
        <is>
          <t>기본은 패키지 상태 그대로 계산. BOM 존재 + 정책 허용 + 필요 시에만 해체.</t>
        </is>
      </c>
    </row>
    <row r="7" ht="30" customHeight="1" s="42">
      <c r="A7" s="46" t="inlineStr">
        <is>
          <t>A100210</t>
        </is>
      </c>
      <c r="B7" s="46" t="inlineStr">
        <is>
          <t>엑스톡스100u</t>
        </is>
      </c>
      <c r="C7" s="8" t="n">
        <v>10</v>
      </c>
      <c r="D7" s="55" t="n">
        <v>18.9</v>
      </c>
      <c r="E7" s="8" t="n">
        <v>10</v>
      </c>
      <c r="F7" s="55" t="n">
        <v>7.4</v>
      </c>
      <c r="G7" s="55" t="n">
        <v>0.291</v>
      </c>
      <c r="H7" s="46" t="inlineStr">
        <is>
          <t>잔량처리시만허용</t>
        </is>
      </c>
      <c r="I7" s="9" t="inlineStr">
        <is>
          <t>Y</t>
        </is>
      </c>
      <c r="J7" s="46" t="inlineStr">
        <is>
          <t>패키지 상품 정보.xlsx</t>
        </is>
      </c>
      <c r="K7" s="46" t="inlineStr">
        <is>
          <t>PACKAGE_AS_IS_FIRST</t>
        </is>
      </c>
      <c r="L7" s="46">
        <f>IF(COUNTIF(package_bom_master!$A:$A,A7)&gt;0,"Y","N")</f>
        <v/>
      </c>
      <c r="M7" s="46" t="inlineStr">
        <is>
          <t>NEED_AND_BOM_ONLY</t>
        </is>
      </c>
      <c r="N7" s="46" t="inlineStr">
        <is>
          <t>COMPONENT</t>
        </is>
      </c>
      <c r="O7" s="46" t="inlineStr">
        <is>
          <t>KEEP_PACKAGE_UNIT</t>
        </is>
      </c>
      <c r="P7" s="46">
        <f>IF(COUNTA(D7:G7)=4,"OK","MANUAL_REVIEW")</f>
        <v/>
      </c>
      <c r="Q7" s="46" t="inlineStr">
        <is>
          <t>기본은 패키지 상태 그대로 계산. BOM 존재 + 정책 허용 + 필요 시에만 해체.</t>
        </is>
      </c>
    </row>
    <row r="8" ht="30" customHeight="1" s="42">
      <c r="A8" s="46" t="inlineStr">
        <is>
          <t>A100220</t>
        </is>
      </c>
      <c r="B8" s="46" t="inlineStr">
        <is>
          <t>엑스톡스200u</t>
        </is>
      </c>
      <c r="C8" s="8" t="n">
        <v>10</v>
      </c>
      <c r="D8" s="55" t="n">
        <v>18.9</v>
      </c>
      <c r="E8" s="8" t="n">
        <v>10</v>
      </c>
      <c r="F8" s="55" t="n">
        <v>7.4</v>
      </c>
      <c r="G8" s="55" t="n">
        <v>0.291</v>
      </c>
      <c r="H8" s="46" t="inlineStr">
        <is>
          <t>잔량처리시만허용</t>
        </is>
      </c>
      <c r="I8" s="9" t="inlineStr">
        <is>
          <t>Y</t>
        </is>
      </c>
      <c r="J8" s="46" t="inlineStr">
        <is>
          <t>패키지 상품 정보.xlsx</t>
        </is>
      </c>
      <c r="K8" s="46" t="inlineStr">
        <is>
          <t>PACKAGE_AS_IS_FIRST</t>
        </is>
      </c>
      <c r="L8" s="46">
        <f>IF(COUNTIF(package_bom_master!$A:$A,A8)&gt;0,"Y","N")</f>
        <v/>
      </c>
      <c r="M8" s="46" t="inlineStr">
        <is>
          <t>NEED_AND_BOM_ONLY</t>
        </is>
      </c>
      <c r="N8" s="46" t="inlineStr">
        <is>
          <t>COMPONENT</t>
        </is>
      </c>
      <c r="O8" s="46" t="inlineStr">
        <is>
          <t>KEEP_PACKAGE_UNIT</t>
        </is>
      </c>
      <c r="P8" s="46">
        <f>IF(COUNTA(D8:G8)=4,"OK","MANUAL_REVIEW")</f>
        <v/>
      </c>
      <c r="Q8" s="46" t="inlineStr">
        <is>
          <t>기본은 패키지 상태 그대로 계산. BOM 존재 + 정책 허용 + 필요 시에만 해체.</t>
        </is>
      </c>
    </row>
    <row r="9" ht="30" customHeight="1" s="42">
      <c r="A9" s="46" t="inlineStr">
        <is>
          <t>A100310</t>
        </is>
      </c>
      <c r="B9" s="13" t="inlineStr">
        <is>
          <t>원톡스 100U</t>
        </is>
      </c>
      <c r="C9" s="8" t="n">
        <v>10</v>
      </c>
      <c r="D9" s="55" t="n">
        <v>18.9</v>
      </c>
      <c r="E9" s="8" t="n">
        <v>10</v>
      </c>
      <c r="F9" s="55" t="n">
        <v>7.4</v>
      </c>
      <c r="G9" s="55" t="n">
        <v>0.291</v>
      </c>
      <c r="H9" s="46" t="inlineStr">
        <is>
          <t>잔량처리시만허용</t>
        </is>
      </c>
      <c r="I9" s="9" t="inlineStr">
        <is>
          <t>Y</t>
        </is>
      </c>
      <c r="J9" s="46" t="inlineStr">
        <is>
          <t>패키지 상품 정보.xlsx</t>
        </is>
      </c>
      <c r="K9" s="46" t="inlineStr">
        <is>
          <t>PACKAGE_AS_IS_FIRST</t>
        </is>
      </c>
      <c r="L9" s="46">
        <f>IF(COUNTIF(package_bom_master!$A:$A,A9)&gt;0,"Y","N")</f>
        <v/>
      </c>
      <c r="M9" s="46" t="inlineStr">
        <is>
          <t>NEED_AND_BOM_ONLY</t>
        </is>
      </c>
      <c r="N9" s="46" t="inlineStr">
        <is>
          <t>COMPONENT</t>
        </is>
      </c>
      <c r="O9" s="46" t="inlineStr">
        <is>
          <t>KEEP_PACKAGE_UNIT</t>
        </is>
      </c>
      <c r="P9" s="46">
        <f>IF(COUNTA(D9:G9)=4,"OK","MANUAL_REVIEW")</f>
        <v/>
      </c>
      <c r="Q9" s="46" t="inlineStr">
        <is>
          <t>기본은 패키지 상태 그대로 계산. BOM 존재 + 정책 허용 + 필요 시에만 해체.</t>
        </is>
      </c>
    </row>
    <row r="10" ht="30" customHeight="1" s="42">
      <c r="A10" s="46" t="inlineStr">
        <is>
          <t>A100320</t>
        </is>
      </c>
      <c r="B10" s="46" t="inlineStr">
        <is>
          <t>원톡스200U</t>
        </is>
      </c>
      <c r="C10" s="8" t="n">
        <v>10</v>
      </c>
      <c r="D10" s="55" t="n">
        <v>18.9</v>
      </c>
      <c r="E10" s="8" t="n">
        <v>10</v>
      </c>
      <c r="F10" s="55" t="n">
        <v>7.4</v>
      </c>
      <c r="G10" s="55" t="n">
        <v>0.291</v>
      </c>
      <c r="H10" s="46" t="inlineStr">
        <is>
          <t>잔량처리시만허용</t>
        </is>
      </c>
      <c r="I10" s="9" t="inlineStr">
        <is>
          <t>Y</t>
        </is>
      </c>
      <c r="J10" s="46" t="inlineStr">
        <is>
          <t>패키지 상품 정보.xlsx</t>
        </is>
      </c>
      <c r="K10" s="46" t="inlineStr">
        <is>
          <t>PACKAGE_AS_IS_FIRST</t>
        </is>
      </c>
      <c r="L10" s="46">
        <f>IF(COUNTIF(package_bom_master!$A:$A,A10)&gt;0,"Y","N")</f>
        <v/>
      </c>
      <c r="M10" s="46" t="inlineStr">
        <is>
          <t>NEED_AND_BOM_ONLY</t>
        </is>
      </c>
      <c r="N10" s="46" t="inlineStr">
        <is>
          <t>COMPONENT</t>
        </is>
      </c>
      <c r="O10" s="46" t="inlineStr">
        <is>
          <t>KEEP_PACKAGE_UNIT</t>
        </is>
      </c>
      <c r="P10" s="46">
        <f>IF(COUNTA(D10:G10)=4,"OK","MANUAL_REVIEW")</f>
        <v/>
      </c>
      <c r="Q10" s="46" t="inlineStr">
        <is>
          <t>기본은 패키지 상태 그대로 계산. BOM 존재 + 정책 허용 + 필요 시에만 해체.</t>
        </is>
      </c>
    </row>
    <row r="11" ht="30" customHeight="1" s="42">
      <c r="A11" s="46" t="inlineStr">
        <is>
          <t>A100510</t>
        </is>
      </c>
      <c r="B11" s="46" t="inlineStr">
        <is>
          <t>리체스 TX100</t>
        </is>
      </c>
      <c r="C11" s="8" t="n">
        <v>10</v>
      </c>
      <c r="D11" s="55" t="n">
        <v>18.9</v>
      </c>
      <c r="E11" s="8" t="n">
        <v>10</v>
      </c>
      <c r="F11" s="55" t="n">
        <v>7.4</v>
      </c>
      <c r="G11" s="55" t="n">
        <v>0.291</v>
      </c>
      <c r="H11" s="46" t="inlineStr">
        <is>
          <t>잔량처리시만허용</t>
        </is>
      </c>
      <c r="I11" s="9" t="inlineStr">
        <is>
          <t>Y</t>
        </is>
      </c>
      <c r="J11" s="46" t="inlineStr">
        <is>
          <t>패키지 상품 정보.xlsx</t>
        </is>
      </c>
      <c r="K11" s="46" t="inlineStr">
        <is>
          <t>PACKAGE_AS_IS_FIRST</t>
        </is>
      </c>
      <c r="L11" s="46">
        <f>IF(COUNTIF(package_bom_master!$A:$A,A11)&gt;0,"Y","N")</f>
        <v/>
      </c>
      <c r="M11" s="46" t="inlineStr">
        <is>
          <t>NEED_AND_BOM_ONLY</t>
        </is>
      </c>
      <c r="N11" s="46" t="inlineStr">
        <is>
          <t>COMPONENT</t>
        </is>
      </c>
      <c r="O11" s="46" t="inlineStr">
        <is>
          <t>KEEP_PACKAGE_UNIT</t>
        </is>
      </c>
      <c r="P11" s="46">
        <f>IF(COUNTA(D11:G11)=4,"OK","MANUAL_REVIEW")</f>
        <v/>
      </c>
      <c r="Q11" s="46" t="inlineStr">
        <is>
          <t>기본은 패키지 상태 그대로 계산. BOM 존재 + 정책 허용 + 필요 시에만 해체.</t>
        </is>
      </c>
    </row>
    <row r="12" ht="30" customHeight="1" s="42">
      <c r="A12" s="46" t="inlineStr">
        <is>
          <t>A100520</t>
        </is>
      </c>
      <c r="B12" s="46" t="inlineStr">
        <is>
          <t>리체스 TX200</t>
        </is>
      </c>
      <c r="C12" s="8" t="n">
        <v>10</v>
      </c>
      <c r="D12" s="55" t="n">
        <v>18.9</v>
      </c>
      <c r="E12" s="8" t="n">
        <v>10</v>
      </c>
      <c r="F12" s="55" t="n">
        <v>7.4</v>
      </c>
      <c r="G12" s="55" t="n">
        <v>0.291</v>
      </c>
      <c r="H12" s="46" t="inlineStr">
        <is>
          <t>잔량처리시만허용</t>
        </is>
      </c>
      <c r="I12" s="9" t="inlineStr">
        <is>
          <t>Y</t>
        </is>
      </c>
      <c r="J12" s="46" t="inlineStr">
        <is>
          <t>패키지 상품 정보.xlsx</t>
        </is>
      </c>
      <c r="K12" s="46" t="inlineStr">
        <is>
          <t>PACKAGE_AS_IS_FIRST</t>
        </is>
      </c>
      <c r="L12" s="46">
        <f>IF(COUNTIF(package_bom_master!$A:$A,A12)&gt;0,"Y","N")</f>
        <v/>
      </c>
      <c r="M12" s="46" t="inlineStr">
        <is>
          <t>NEED_AND_BOM_ONLY</t>
        </is>
      </c>
      <c r="N12" s="46" t="inlineStr">
        <is>
          <t>COMPONENT</t>
        </is>
      </c>
      <c r="O12" s="46" t="inlineStr">
        <is>
          <t>KEEP_PACKAGE_UNIT</t>
        </is>
      </c>
      <c r="P12" s="46">
        <f>IF(COUNTA(D12:G12)=4,"OK","MANUAL_REVIEW")</f>
        <v/>
      </c>
      <c r="Q12" s="46" t="inlineStr">
        <is>
          <t>기본은 패키지 상태 그대로 계산. BOM 존재 + 정책 허용 + 필요 시에만 해체.</t>
        </is>
      </c>
    </row>
    <row r="13" ht="30" customHeight="1" s="42">
      <c r="A13" s="46" t="inlineStr">
        <is>
          <t>B100710</t>
        </is>
      </c>
      <c r="B13" s="46" t="inlineStr">
        <is>
          <t>보툴렉스50u</t>
        </is>
      </c>
      <c r="C13" s="8" t="n">
        <v>10</v>
      </c>
      <c r="D13" s="55" t="n">
        <v>18.7</v>
      </c>
      <c r="E13" s="55" t="n">
        <v>9.300000000000001</v>
      </c>
      <c r="F13" s="55" t="n">
        <v>7.2</v>
      </c>
      <c r="G13" s="55" t="n">
        <v>0.297</v>
      </c>
      <c r="H13" s="46" t="inlineStr">
        <is>
          <t>잔량처리시만허용</t>
        </is>
      </c>
      <c r="I13" s="9" t="inlineStr">
        <is>
          <t>Y</t>
        </is>
      </c>
      <c r="J13" s="46" t="inlineStr">
        <is>
          <t>패키지 상품 정보.xlsx</t>
        </is>
      </c>
      <c r="K13" s="46" t="inlineStr">
        <is>
          <t>PACKAGE_AS_IS_FIRST</t>
        </is>
      </c>
      <c r="L13" s="46">
        <f>IF(COUNTIF(package_bom_master!$A:$A,A13)&gt;0,"Y","N")</f>
        <v/>
      </c>
      <c r="M13" s="46" t="inlineStr">
        <is>
          <t>NEED_AND_BOM_ONLY</t>
        </is>
      </c>
      <c r="N13" s="46" t="inlineStr">
        <is>
          <t>COMPONENT</t>
        </is>
      </c>
      <c r="O13" s="46" t="inlineStr">
        <is>
          <t>KEEP_PACKAGE_UNIT</t>
        </is>
      </c>
      <c r="P13" s="46">
        <f>IF(COUNTA(D13:G13)=4,"OK","MANUAL_REVIEW")</f>
        <v/>
      </c>
      <c r="Q13" s="46" t="inlineStr">
        <is>
          <t>기본은 패키지 상태 그대로 계산. BOM 존재 + 정책 허용 + 필요 시에만 해체.</t>
        </is>
      </c>
    </row>
    <row r="14" ht="30" customHeight="1" s="42">
      <c r="A14" s="46" t="inlineStr">
        <is>
          <t>B100720</t>
        </is>
      </c>
      <c r="B14" s="46" t="inlineStr">
        <is>
          <t>보툴렉스100u</t>
        </is>
      </c>
      <c r="C14" s="8" t="n">
        <v>10</v>
      </c>
      <c r="D14" s="55" t="n">
        <v>18.7</v>
      </c>
      <c r="E14" s="55" t="n">
        <v>9.300000000000001</v>
      </c>
      <c r="F14" s="55" t="n">
        <v>7.2</v>
      </c>
      <c r="G14" s="55" t="n">
        <v>0.297</v>
      </c>
      <c r="H14" s="46" t="inlineStr">
        <is>
          <t>잔량처리시만허용</t>
        </is>
      </c>
      <c r="I14" s="9" t="inlineStr">
        <is>
          <t>Y</t>
        </is>
      </c>
      <c r="J14" s="46" t="inlineStr">
        <is>
          <t>패키지 상품 정보.xlsx</t>
        </is>
      </c>
      <c r="K14" s="46" t="inlineStr">
        <is>
          <t>PACKAGE_AS_IS_FIRST</t>
        </is>
      </c>
      <c r="L14" s="46">
        <f>IF(COUNTIF(package_bom_master!$A:$A,A14)&gt;0,"Y","N")</f>
        <v/>
      </c>
      <c r="M14" s="46" t="inlineStr">
        <is>
          <t>NEED_AND_BOM_ONLY</t>
        </is>
      </c>
      <c r="N14" s="46" t="inlineStr">
        <is>
          <t>COMPONENT</t>
        </is>
      </c>
      <c r="O14" s="46" t="inlineStr">
        <is>
          <t>KEEP_PACKAGE_UNIT</t>
        </is>
      </c>
      <c r="P14" s="46">
        <f>IF(COUNTA(D14:G14)=4,"OK","MANUAL_REVIEW")</f>
        <v/>
      </c>
      <c r="Q14" s="46" t="inlineStr">
        <is>
          <t>기본은 패키지 상태 그대로 계산. BOM 존재 + 정책 허용 + 필요 시에만 해체.</t>
        </is>
      </c>
    </row>
    <row r="15" ht="30" customHeight="1" s="42">
      <c r="A15" s="46" t="inlineStr">
        <is>
          <t>B100725</t>
        </is>
      </c>
      <c r="B15" s="46" t="inlineStr">
        <is>
          <t>보툴렉스150u</t>
        </is>
      </c>
      <c r="C15" s="8" t="n">
        <v>10</v>
      </c>
      <c r="D15" s="55" t="n">
        <v>18.7</v>
      </c>
      <c r="E15" s="55" t="n">
        <v>9.300000000000001</v>
      </c>
      <c r="F15" s="55" t="n">
        <v>7.2</v>
      </c>
      <c r="G15" s="55" t="n">
        <v>0.297</v>
      </c>
      <c r="H15" s="46" t="inlineStr">
        <is>
          <t>잔량처리시만허용</t>
        </is>
      </c>
      <c r="I15" s="9" t="inlineStr">
        <is>
          <t>Y</t>
        </is>
      </c>
      <c r="J15" s="46" t="inlineStr">
        <is>
          <t>패키지 상품 정보.xlsx</t>
        </is>
      </c>
      <c r="K15" s="46" t="inlineStr">
        <is>
          <t>PACKAGE_AS_IS_FIRST</t>
        </is>
      </c>
      <c r="L15" s="46">
        <f>IF(COUNTIF(package_bom_master!$A:$A,A15)&gt;0,"Y","N")</f>
        <v/>
      </c>
      <c r="M15" s="46" t="inlineStr">
        <is>
          <t>NEED_AND_BOM_ONLY</t>
        </is>
      </c>
      <c r="N15" s="46" t="inlineStr">
        <is>
          <t>COMPONENT</t>
        </is>
      </c>
      <c r="O15" s="46" t="inlineStr">
        <is>
          <t>KEEP_PACKAGE_UNIT</t>
        </is>
      </c>
      <c r="P15" s="46">
        <f>IF(COUNTA(D15:G15)=4,"OK","MANUAL_REVIEW")</f>
        <v/>
      </c>
      <c r="Q15" s="46" t="inlineStr">
        <is>
          <t>기본은 패키지 상태 그대로 계산. BOM 존재 + 정책 허용 + 필요 시에만 해체.</t>
        </is>
      </c>
    </row>
    <row r="16" ht="30" customHeight="1" s="42">
      <c r="A16" s="46" t="inlineStr">
        <is>
          <t>B100730</t>
        </is>
      </c>
      <c r="B16" s="46" t="inlineStr">
        <is>
          <t>보툴렉스200u</t>
        </is>
      </c>
      <c r="C16" s="8" t="n">
        <v>10</v>
      </c>
      <c r="D16" s="55" t="n">
        <v>18.7</v>
      </c>
      <c r="E16" s="55" t="n">
        <v>9.300000000000001</v>
      </c>
      <c r="F16" s="55" t="n">
        <v>7.2</v>
      </c>
      <c r="G16" s="55" t="n">
        <v>0.297</v>
      </c>
      <c r="H16" s="46" t="inlineStr">
        <is>
          <t>잔량처리시만허용</t>
        </is>
      </c>
      <c r="I16" s="9" t="inlineStr">
        <is>
          <t>Y</t>
        </is>
      </c>
      <c r="J16" s="46" t="inlineStr">
        <is>
          <t>패키지 상품 정보.xlsx</t>
        </is>
      </c>
      <c r="K16" s="46" t="inlineStr">
        <is>
          <t>PACKAGE_AS_IS_FIRST</t>
        </is>
      </c>
      <c r="L16" s="46">
        <f>IF(COUNTIF(package_bom_master!$A:$A,A16)&gt;0,"Y","N")</f>
        <v/>
      </c>
      <c r="M16" s="46" t="inlineStr">
        <is>
          <t>NEED_AND_BOM_ONLY</t>
        </is>
      </c>
      <c r="N16" s="46" t="inlineStr">
        <is>
          <t>COMPONENT</t>
        </is>
      </c>
      <c r="O16" s="46" t="inlineStr">
        <is>
          <t>KEEP_PACKAGE_UNIT</t>
        </is>
      </c>
      <c r="P16" s="46">
        <f>IF(COUNTA(D16:G16)=4,"OK","MANUAL_REVIEW")</f>
        <v/>
      </c>
      <c r="Q16" s="46" t="inlineStr">
        <is>
          <t>기본은 패키지 상태 그대로 계산. BOM 존재 + 정책 허용 + 필요 시에만 해체.</t>
        </is>
      </c>
    </row>
    <row r="17" ht="30" customHeight="1" s="42">
      <c r="A17" s="46" t="inlineStr">
        <is>
          <t>B100740</t>
        </is>
      </c>
      <c r="B17" s="46" t="inlineStr">
        <is>
          <t>보툴렉스300u</t>
        </is>
      </c>
      <c r="C17" s="8" t="n">
        <v>10</v>
      </c>
      <c r="D17" s="55" t="n">
        <v>18.7</v>
      </c>
      <c r="E17" s="55" t="n">
        <v>9.300000000000001</v>
      </c>
      <c r="F17" s="55" t="n">
        <v>7.2</v>
      </c>
      <c r="G17" s="55" t="n">
        <v>0.297</v>
      </c>
      <c r="H17" s="46" t="inlineStr">
        <is>
          <t>잔량처리시만허용</t>
        </is>
      </c>
      <c r="I17" s="9" t="inlineStr">
        <is>
          <t>Y</t>
        </is>
      </c>
      <c r="J17" s="46" t="inlineStr">
        <is>
          <t>패키지 상품 정보.xlsx</t>
        </is>
      </c>
      <c r="K17" s="46" t="inlineStr">
        <is>
          <t>PACKAGE_AS_IS_FIRST</t>
        </is>
      </c>
      <c r="L17" s="46">
        <f>IF(COUNTIF(package_bom_master!$A:$A,A17)&gt;0,"Y","N")</f>
        <v/>
      </c>
      <c r="M17" s="46" t="inlineStr">
        <is>
          <t>NEED_AND_BOM_ONLY</t>
        </is>
      </c>
      <c r="N17" s="46" t="inlineStr">
        <is>
          <t>COMPONENT</t>
        </is>
      </c>
      <c r="O17" s="46" t="inlineStr">
        <is>
          <t>KEEP_PACKAGE_UNIT</t>
        </is>
      </c>
      <c r="P17" s="46">
        <f>IF(COUNTA(D17:G17)=4,"OK","MANUAL_REVIEW")</f>
        <v/>
      </c>
      <c r="Q17" s="46" t="inlineStr">
        <is>
          <t>기본은 패키지 상태 그대로 계산. BOM 존재 + 정책 허용 + 필요 시에만 해체.</t>
        </is>
      </c>
    </row>
    <row r="18" ht="30" customHeight="1" s="42">
      <c r="A18" s="46" t="inlineStr">
        <is>
          <t>B100810</t>
        </is>
      </c>
      <c r="B18" s="46" t="inlineStr">
        <is>
          <t>비에녹스100u</t>
        </is>
      </c>
      <c r="C18" s="8" t="n">
        <v>10</v>
      </c>
      <c r="D18" s="55" t="n">
        <v>18.9</v>
      </c>
      <c r="E18" s="8" t="n">
        <v>10</v>
      </c>
      <c r="F18" s="55" t="n">
        <v>7.4</v>
      </c>
      <c r="G18" s="55" t="n">
        <v>0.291</v>
      </c>
      <c r="H18" s="46" t="inlineStr">
        <is>
          <t>잔량처리시만허용</t>
        </is>
      </c>
      <c r="I18" s="9" t="inlineStr">
        <is>
          <t>Y</t>
        </is>
      </c>
      <c r="J18" s="46" t="inlineStr">
        <is>
          <t>패키지 상품 정보.xlsx</t>
        </is>
      </c>
      <c r="K18" s="46" t="inlineStr">
        <is>
          <t>PACKAGE_AS_IS_FIRST</t>
        </is>
      </c>
      <c r="L18" s="46">
        <f>IF(COUNTIF(package_bom_master!$A:$A,A18)&gt;0,"Y","N")</f>
        <v/>
      </c>
      <c r="M18" s="46" t="inlineStr">
        <is>
          <t>NEED_AND_BOM_ONLY</t>
        </is>
      </c>
      <c r="N18" s="46" t="inlineStr">
        <is>
          <t>COMPONENT</t>
        </is>
      </c>
      <c r="O18" s="46" t="inlineStr">
        <is>
          <t>KEEP_PACKAGE_UNIT</t>
        </is>
      </c>
      <c r="P18" s="46">
        <f>IF(COUNTA(D18:G18)=4,"OK","MANUAL_REVIEW")</f>
        <v/>
      </c>
      <c r="Q18" s="46" t="inlineStr">
        <is>
          <t>기본은 패키지 상태 그대로 계산. BOM 존재 + 정책 허용 + 필요 시에만 해체.</t>
        </is>
      </c>
    </row>
    <row r="19" ht="30" customHeight="1" s="42">
      <c r="A19" s="46" t="inlineStr">
        <is>
          <t>B100815</t>
        </is>
      </c>
      <c r="B19" s="46" t="inlineStr">
        <is>
          <t>비에녹스200u</t>
        </is>
      </c>
      <c r="C19" s="8" t="n">
        <v>10</v>
      </c>
      <c r="D19" s="55" t="n">
        <v>18.9</v>
      </c>
      <c r="E19" s="8" t="n">
        <v>10</v>
      </c>
      <c r="F19" s="55" t="n">
        <v>7.4</v>
      </c>
      <c r="G19" s="55" t="n">
        <v>0.291</v>
      </c>
      <c r="H19" s="46" t="inlineStr">
        <is>
          <t>잔량처리시만허용</t>
        </is>
      </c>
      <c r="I19" s="9" t="inlineStr">
        <is>
          <t>Y</t>
        </is>
      </c>
      <c r="J19" s="46" t="inlineStr">
        <is>
          <t>패키지 상품 정보.xlsx</t>
        </is>
      </c>
      <c r="K19" s="46" t="inlineStr">
        <is>
          <t>PACKAGE_AS_IS_FIRST</t>
        </is>
      </c>
      <c r="L19" s="46">
        <f>IF(COUNTIF(package_bom_master!$A:$A,A19)&gt;0,"Y","N")</f>
        <v/>
      </c>
      <c r="M19" s="46" t="inlineStr">
        <is>
          <t>NEED_AND_BOM_ONLY</t>
        </is>
      </c>
      <c r="N19" s="46" t="inlineStr">
        <is>
          <t>COMPONENT</t>
        </is>
      </c>
      <c r="O19" s="46" t="inlineStr">
        <is>
          <t>KEEP_PACKAGE_UNIT</t>
        </is>
      </c>
      <c r="P19" s="46">
        <f>IF(COUNTA(D19:G19)=4,"OK","MANUAL_REVIEW")</f>
        <v/>
      </c>
      <c r="Q19" s="46" t="inlineStr">
        <is>
          <t>기본은 패키지 상태 그대로 계산. BOM 존재 + 정책 허용 + 필요 시에만 해체.</t>
        </is>
      </c>
    </row>
    <row r="20" ht="30" customHeight="1" s="42">
      <c r="A20" s="46" t="inlineStr">
        <is>
          <t>B100110</t>
        </is>
      </c>
      <c r="B20" s="12" t="inlineStr">
        <is>
          <t>나보타 100u</t>
        </is>
      </c>
      <c r="C20" s="8" t="n">
        <v>10</v>
      </c>
      <c r="D20" s="55" t="n">
        <v>25.6</v>
      </c>
      <c r="E20" s="55" t="n">
        <v>9.300000000000001</v>
      </c>
      <c r="F20" s="55" t="n">
        <v>9.300000000000001</v>
      </c>
      <c r="G20" s="55" t="n">
        <v>0.365</v>
      </c>
      <c r="H20" s="46" t="inlineStr">
        <is>
          <t>잔량처리시만허용</t>
        </is>
      </c>
      <c r="I20" s="9" t="inlineStr">
        <is>
          <t>Y</t>
        </is>
      </c>
      <c r="J20" s="46" t="inlineStr">
        <is>
          <t>패키지 상품 정보.xlsx</t>
        </is>
      </c>
      <c r="K20" s="46" t="inlineStr">
        <is>
          <t>PACKAGE_AS_IS_FIRST</t>
        </is>
      </c>
      <c r="L20" s="46">
        <f>IF(COUNTIF(package_bom_master!$A:$A,A20)&gt;0,"Y","N")</f>
        <v/>
      </c>
      <c r="M20" s="46" t="inlineStr">
        <is>
          <t>NEED_AND_BOM_ONLY</t>
        </is>
      </c>
      <c r="N20" s="46" t="inlineStr">
        <is>
          <t>COMPONENT</t>
        </is>
      </c>
      <c r="O20" s="46" t="inlineStr">
        <is>
          <t>KEEP_PACKAGE_UNIT</t>
        </is>
      </c>
      <c r="P20" s="46">
        <f>IF(COUNTA(D20:G20)=4,"OK","MANUAL_REVIEW")</f>
        <v/>
      </c>
      <c r="Q20" s="46" t="inlineStr">
        <is>
          <t>기본은 패키지 상태 그대로 계산. BOM 존재 + 정책 허용 + 필요 시에만 해체.</t>
        </is>
      </c>
    </row>
    <row r="21" ht="30" customHeight="1" s="42">
      <c r="A21" s="46" t="inlineStr">
        <is>
          <t>B100130</t>
        </is>
      </c>
      <c r="B21" s="3" t="inlineStr">
        <is>
          <t>나보타 200u</t>
        </is>
      </c>
      <c r="C21" s="8" t="n">
        <v>10</v>
      </c>
      <c r="D21" s="55" t="n">
        <v>25.6</v>
      </c>
      <c r="E21" s="55" t="n">
        <v>9.300000000000001</v>
      </c>
      <c r="F21" s="55" t="n">
        <v>9.300000000000001</v>
      </c>
      <c r="G21" s="55" t="n">
        <v>0.365</v>
      </c>
      <c r="H21" s="46" t="inlineStr">
        <is>
          <t>잔량처리시만허용</t>
        </is>
      </c>
      <c r="I21" s="9" t="inlineStr">
        <is>
          <t>Y</t>
        </is>
      </c>
      <c r="J21" s="46" t="inlineStr">
        <is>
          <t>패키지 상품 정보.xlsx</t>
        </is>
      </c>
      <c r="K21" s="46" t="inlineStr">
        <is>
          <t>PACKAGE_AS_IS_FIRST</t>
        </is>
      </c>
      <c r="L21" s="46">
        <f>IF(COUNTIF(package_bom_master!$A:$A,A21)&gt;0,"Y","N")</f>
        <v/>
      </c>
      <c r="M21" s="46" t="inlineStr">
        <is>
          <t>NEED_AND_BOM_ONLY</t>
        </is>
      </c>
      <c r="N21" s="46" t="inlineStr">
        <is>
          <t>COMPONENT</t>
        </is>
      </c>
      <c r="O21" s="46" t="inlineStr">
        <is>
          <t>KEEP_PACKAGE_UNIT</t>
        </is>
      </c>
      <c r="P21" s="46">
        <f>IF(COUNTA(D21:G21)=4,"OK","MANUAL_REVIEW")</f>
        <v/>
      </c>
      <c r="Q21" s="46" t="inlineStr">
        <is>
          <t>기본은 패키지 상태 그대로 계산. BOM 존재 + 정책 허용 + 필요 시에만 해체.</t>
        </is>
      </c>
    </row>
    <row r="22" ht="30" customHeight="1" s="42">
      <c r="A22" s="19" t="inlineStr">
        <is>
          <t>A300700</t>
        </is>
      </c>
      <c r="B22" s="18" t="inlineStr">
        <is>
          <t>리체스 카인크림</t>
        </is>
      </c>
      <c r="C22" s="20" t="n">
        <v>10</v>
      </c>
      <c r="D22" s="56" t="n">
        <v>53</v>
      </c>
      <c r="E22" s="56" t="n">
        <v>23</v>
      </c>
      <c r="F22" s="56" t="n">
        <v>13</v>
      </c>
      <c r="G22" s="57" t="n">
        <v>6.9</v>
      </c>
      <c r="H22" s="46" t="n"/>
      <c r="I22" s="9" t="n"/>
      <c r="J22" s="46" t="n"/>
      <c r="K22" s="46" t="n"/>
      <c r="L22" s="46" t="n"/>
      <c r="M22" s="46" t="n"/>
      <c r="N22" s="46" t="n"/>
      <c r="O22" s="46" t="n"/>
      <c r="P22" s="46" t="n"/>
      <c r="Q22" s="46" t="n"/>
    </row>
    <row r="23" ht="30" customHeight="1" s="42">
      <c r="A23" s="19" t="inlineStr">
        <is>
          <t>A300702</t>
        </is>
      </c>
      <c r="B23" s="18" t="inlineStr">
        <is>
          <t>리체스 카인플러스크림</t>
        </is>
      </c>
      <c r="C23" s="20" t="n">
        <v>10</v>
      </c>
      <c r="D23" s="56" t="n">
        <v>53</v>
      </c>
      <c r="E23" s="56" t="n">
        <v>23</v>
      </c>
      <c r="F23" s="56" t="n">
        <v>13</v>
      </c>
      <c r="G23" s="57" t="n">
        <v>6.9</v>
      </c>
      <c r="H23" s="46" t="n"/>
      <c r="I23" s="9" t="n"/>
      <c r="J23" s="46" t="n"/>
      <c r="K23" s="46" t="n"/>
      <c r="L23" s="46" t="n"/>
      <c r="M23" s="46" t="n"/>
      <c r="N23" s="46" t="n"/>
      <c r="O23" s="46" t="n"/>
      <c r="P23" s="46" t="n"/>
      <c r="Q23" s="46" t="n"/>
    </row>
    <row r="24" ht="30" customHeight="1" s="42">
      <c r="A24" s="19" t="inlineStr">
        <is>
          <t>A301210</t>
        </is>
      </c>
      <c r="B24" s="18" t="inlineStr">
        <is>
          <t>제이드 카인크림</t>
        </is>
      </c>
      <c r="C24" s="20" t="n">
        <v>10</v>
      </c>
      <c r="D24" s="56" t="n">
        <v>53</v>
      </c>
      <c r="E24" s="56" t="n">
        <v>23</v>
      </c>
      <c r="F24" s="56" t="n">
        <v>13</v>
      </c>
      <c r="G24" s="57" t="n">
        <v>6.9</v>
      </c>
      <c r="H24" s="46" t="n"/>
      <c r="I24" s="9" t="n"/>
      <c r="J24" s="46" t="n"/>
      <c r="K24" s="46" t="n"/>
      <c r="L24" s="46" t="n"/>
      <c r="M24" s="46" t="n"/>
      <c r="N24" s="46" t="n"/>
      <c r="O24" s="46" t="n"/>
      <c r="P24" s="46" t="n"/>
      <c r="Q24" s="46" t="n"/>
    </row>
    <row r="25" ht="30" customHeight="1" s="42">
      <c r="A25" s="19" t="inlineStr">
        <is>
          <t>A301220</t>
        </is>
      </c>
      <c r="B25" s="18" t="inlineStr">
        <is>
          <t>제이드 카인플러스크림</t>
        </is>
      </c>
      <c r="C25" s="20" t="n">
        <v>10</v>
      </c>
      <c r="D25" s="56" t="n">
        <v>53</v>
      </c>
      <c r="E25" s="56" t="n">
        <v>23</v>
      </c>
      <c r="F25" s="56" t="n">
        <v>13</v>
      </c>
      <c r="G25" s="57" t="n">
        <v>6.9</v>
      </c>
      <c r="H25" s="46" t="n"/>
      <c r="I25" s="9" t="n"/>
      <c r="J25" s="46" t="n"/>
      <c r="K25" s="46" t="n"/>
      <c r="L25" s="46" t="n"/>
      <c r="M25" s="46" t="n"/>
      <c r="N25" s="46" t="n"/>
      <c r="O25" s="46" t="n"/>
      <c r="P25" s="46" t="n"/>
      <c r="Q25" s="46" t="n"/>
    </row>
    <row r="26" ht="30" customHeight="1" s="42">
      <c r="A26" s="46" t="inlineStr">
        <is>
          <t>A300420</t>
        </is>
      </c>
      <c r="B26" s="3" t="inlineStr">
        <is>
          <t>드메이 PCL</t>
        </is>
      </c>
      <c r="C26" s="8" t="n">
        <v>10</v>
      </c>
      <c r="D26" s="58" t="n">
        <v>18.4</v>
      </c>
      <c r="E26" s="58" t="n">
        <v>7.4</v>
      </c>
      <c r="F26" s="58" t="n">
        <v>6.8</v>
      </c>
      <c r="G26" s="55" t="n">
        <v>0.231</v>
      </c>
      <c r="H26" s="46" t="inlineStr">
        <is>
          <t>잔량처리시만허용</t>
        </is>
      </c>
      <c r="I26" s="9" t="inlineStr">
        <is>
          <t>Y</t>
        </is>
      </c>
      <c r="J26" s="46" t="inlineStr">
        <is>
          <t>패키지 상품 정보.xlsx</t>
        </is>
      </c>
      <c r="K26" s="46" t="inlineStr">
        <is>
          <t>PACKAGE_AS_IS_FIRST</t>
        </is>
      </c>
      <c r="L26" s="46">
        <f>IF(COUNTIF(package_bom_master!$A:$A,A26)&gt;0,"Y","N")</f>
        <v/>
      </c>
      <c r="M26" s="46" t="inlineStr">
        <is>
          <t>NEED_AND_BOM_ONLY</t>
        </is>
      </c>
      <c r="N26" s="46" t="inlineStr">
        <is>
          <t>COMPONENT</t>
        </is>
      </c>
      <c r="O26" s="46" t="inlineStr">
        <is>
          <t>KEEP_PACKAGE_UNIT</t>
        </is>
      </c>
      <c r="P26" s="46">
        <f>IF(COUNTA(D26:G26)=4,"OK","MANUAL_REVIEW")</f>
        <v/>
      </c>
      <c r="Q26" s="46" t="inlineStr">
        <is>
          <t>기본은 패키지 상태 그대로 계산. BOM 존재 + 정책 허용 + 필요 시에만 해체.</t>
        </is>
      </c>
    </row>
    <row r="27" ht="30" customHeight="1" s="42">
      <c r="A27" s="46" t="inlineStr">
        <is>
          <t>A300430</t>
        </is>
      </c>
      <c r="B27" s="3" t="inlineStr">
        <is>
          <t>드메이 PLA</t>
        </is>
      </c>
      <c r="C27" s="8" t="n">
        <v>10</v>
      </c>
      <c r="D27" s="58" t="n">
        <v>18.7</v>
      </c>
      <c r="E27" s="58" t="n">
        <v>7.5</v>
      </c>
      <c r="F27" s="58" t="n">
        <v>6.7</v>
      </c>
      <c r="G27" s="55" t="n">
        <v>0.248</v>
      </c>
      <c r="H27" s="46" t="inlineStr">
        <is>
          <t>잔량처리시만허용</t>
        </is>
      </c>
      <c r="I27" s="9" t="inlineStr">
        <is>
          <t>Y</t>
        </is>
      </c>
      <c r="J27" s="46" t="inlineStr">
        <is>
          <t>패키지 상품 정보.xlsx</t>
        </is>
      </c>
      <c r="K27" s="46" t="inlineStr">
        <is>
          <t>PACKAGE_AS_IS_FIRST</t>
        </is>
      </c>
      <c r="L27" s="46">
        <f>IF(COUNTIF(package_bom_master!$A:$A,A27)&gt;0,"Y","N")</f>
        <v/>
      </c>
      <c r="M27" s="46" t="inlineStr">
        <is>
          <t>NEED_AND_BOM_ONLY</t>
        </is>
      </c>
      <c r="N27" s="46" t="inlineStr">
        <is>
          <t>COMPONENT</t>
        </is>
      </c>
      <c r="O27" s="46" t="inlineStr">
        <is>
          <t>KEEP_PACKAGE_UNIT</t>
        </is>
      </c>
      <c r="P27" s="46">
        <f>IF(COUNTA(D27:G27)=4,"OK","MANUAL_REVIEW")</f>
        <v/>
      </c>
      <c r="Q27" s="46" t="inlineStr">
        <is>
          <t>기본은 패키지 상태 그대로 계산. BOM 존재 + 정책 허용 + 필요 시에만 해체.</t>
        </is>
      </c>
    </row>
    <row r="28" ht="30" customHeight="1" s="42">
      <c r="A28" s="46" t="inlineStr">
        <is>
          <t>A300701</t>
        </is>
      </c>
      <c r="B28" s="3" t="inlineStr">
        <is>
          <t>리체스 카인크림 (30g)</t>
        </is>
      </c>
      <c r="C28" s="8" t="n">
        <v>30</v>
      </c>
      <c r="D28" s="58" t="n">
        <v>24</v>
      </c>
      <c r="E28" s="58" t="n">
        <v>18.5</v>
      </c>
      <c r="F28" s="58" t="n">
        <v>14</v>
      </c>
      <c r="G28" s="55" t="n">
        <v>1.55</v>
      </c>
      <c r="H28" s="46" t="inlineStr">
        <is>
          <t>잔량처리시만허용</t>
        </is>
      </c>
      <c r="I28" s="9" t="inlineStr">
        <is>
          <t>Y</t>
        </is>
      </c>
      <c r="J28" s="46" t="inlineStr">
        <is>
          <t>패키지 상품 정보.xlsx</t>
        </is>
      </c>
      <c r="K28" s="46" t="inlineStr">
        <is>
          <t>PACKAGE_AS_IS_FIRST</t>
        </is>
      </c>
      <c r="L28" s="46">
        <f>IF(COUNTIF(package_bom_master!$A:$A,A28)&gt;0,"Y","N")</f>
        <v/>
      </c>
      <c r="M28" s="46" t="inlineStr">
        <is>
          <t>NEED_AND_BOM_ONLY</t>
        </is>
      </c>
      <c r="N28" s="46" t="inlineStr">
        <is>
          <t>COMPONENT</t>
        </is>
      </c>
      <c r="O28" s="46" t="inlineStr">
        <is>
          <t>KEEP_PACKAGE_UNIT</t>
        </is>
      </c>
      <c r="P28" s="46">
        <f>IF(COUNTA(D28:G28)=4,"OK","MANUAL_REVIEW")</f>
        <v/>
      </c>
      <c r="Q28" s="46" t="inlineStr">
        <is>
          <t>기본은 패키지 상태 그대로 계산. BOM 존재 + 정책 허용 + 필요 시에만 해체.</t>
        </is>
      </c>
    </row>
    <row r="29" ht="30" customHeight="1" s="42">
      <c r="A29" s="46" t="inlineStr">
        <is>
          <t>A300800</t>
        </is>
      </c>
      <c r="B29" s="3" t="inlineStr">
        <is>
          <t>리체스 PCL</t>
        </is>
      </c>
      <c r="C29" s="8" t="n">
        <v>10</v>
      </c>
      <c r="D29" s="58" t="n">
        <v>18.3</v>
      </c>
      <c r="E29" s="58" t="n">
        <v>7.4</v>
      </c>
      <c r="F29" s="58" t="n">
        <v>6.7</v>
      </c>
      <c r="G29" s="55" t="n">
        <v>0.234</v>
      </c>
      <c r="H29" s="46" t="inlineStr">
        <is>
          <t>잔량처리시만허용</t>
        </is>
      </c>
      <c r="I29" s="9" t="inlineStr">
        <is>
          <t>Y</t>
        </is>
      </c>
      <c r="J29" s="46" t="inlineStr">
        <is>
          <t>패키지 상품 정보.xlsx</t>
        </is>
      </c>
      <c r="K29" s="46" t="inlineStr">
        <is>
          <t>PACKAGE_AS_IS_FIRST</t>
        </is>
      </c>
      <c r="L29" s="46">
        <f>IF(COUNTIF(package_bom_master!$A:$A,A29)&gt;0,"Y","N")</f>
        <v/>
      </c>
      <c r="M29" s="46" t="inlineStr">
        <is>
          <t>NEED_AND_BOM_ONLY</t>
        </is>
      </c>
      <c r="N29" s="46" t="inlineStr">
        <is>
          <t>COMPONENT</t>
        </is>
      </c>
      <c r="O29" s="46" t="inlineStr">
        <is>
          <t>KEEP_PACKAGE_UNIT</t>
        </is>
      </c>
      <c r="P29" s="46">
        <f>IF(COUNTA(D29:G29)=4,"OK","MANUAL_REVIEW")</f>
        <v/>
      </c>
      <c r="Q29" s="46" t="inlineStr">
        <is>
          <t>기본은 패키지 상태 그대로 계산. BOM 존재 + 정책 허용 + 필요 시에만 해체.</t>
        </is>
      </c>
    </row>
    <row r="30" ht="30" customHeight="1" s="42">
      <c r="A30" s="46" t="inlineStr">
        <is>
          <t>A300820</t>
        </is>
      </c>
      <c r="B30" s="3" t="inlineStr">
        <is>
          <t>리체스 PLA (COS)</t>
        </is>
      </c>
      <c r="C30" s="8" t="n">
        <v>10</v>
      </c>
      <c r="D30" s="58" t="n">
        <v>18.8</v>
      </c>
      <c r="E30" s="58" t="n">
        <v>7.6</v>
      </c>
      <c r="F30" s="58" t="n">
        <v>6.8</v>
      </c>
      <c r="G30" s="55" t="n">
        <v>0.268</v>
      </c>
      <c r="H30" s="46" t="inlineStr">
        <is>
          <t>잔량처리시만허용</t>
        </is>
      </c>
      <c r="I30" s="9" t="inlineStr">
        <is>
          <t>Y</t>
        </is>
      </c>
      <c r="J30" s="46" t="inlineStr">
        <is>
          <t>패키지 상품 정보.xlsx</t>
        </is>
      </c>
      <c r="K30" s="46" t="inlineStr">
        <is>
          <t>PACKAGE_AS_IS_FIRST</t>
        </is>
      </c>
      <c r="L30" s="46">
        <f>IF(COUNTIF(package_bom_master!$A:$A,A30)&gt;0,"Y","N")</f>
        <v/>
      </c>
      <c r="M30" s="46" t="inlineStr">
        <is>
          <t>NEED_AND_BOM_ONLY</t>
        </is>
      </c>
      <c r="N30" s="46" t="inlineStr">
        <is>
          <t>COMPONENT</t>
        </is>
      </c>
      <c r="O30" s="46" t="inlineStr">
        <is>
          <t>KEEP_PACKAGE_UNIT</t>
        </is>
      </c>
      <c r="P30" s="46">
        <f>IF(COUNTA(D30:G30)=4,"OK","MANUAL_REVIEW")</f>
        <v/>
      </c>
      <c r="Q30" s="46" t="inlineStr">
        <is>
          <t>기본은 패키지 상태 그대로 계산. BOM 존재 + 정책 허용 + 필요 시에만 해체.</t>
        </is>
      </c>
    </row>
    <row r="31" ht="30" customHeight="1" s="42">
      <c r="A31" s="46" t="inlineStr">
        <is>
          <t>B100125</t>
        </is>
      </c>
      <c r="B31" s="3" t="inlineStr">
        <is>
          <t>나보타150u</t>
        </is>
      </c>
      <c r="C31" s="8" t="n">
        <v>10</v>
      </c>
      <c r="D31" s="58" t="n">
        <v>25.6</v>
      </c>
      <c r="E31" s="58" t="n">
        <v>9.300000000000001</v>
      </c>
      <c r="F31" s="58" t="n">
        <v>9.300000000000001</v>
      </c>
      <c r="G31" s="55" t="n">
        <v>0.367</v>
      </c>
      <c r="H31" s="46" t="inlineStr">
        <is>
          <t>잔량처리시만허용</t>
        </is>
      </c>
      <c r="I31" s="9" t="inlineStr">
        <is>
          <t>Y</t>
        </is>
      </c>
      <c r="J31" s="46" t="inlineStr">
        <is>
          <t>패키지 상품 정보.xlsx</t>
        </is>
      </c>
      <c r="K31" s="46" t="inlineStr">
        <is>
          <t>PACKAGE_AS_IS_FIRST</t>
        </is>
      </c>
      <c r="L31" s="46">
        <f>IF(COUNTIF(package_bom_master!$A:$A,A31)&gt;0,"Y","N")</f>
        <v/>
      </c>
      <c r="M31" s="46" t="inlineStr">
        <is>
          <t>NEED_AND_BOM_ONLY</t>
        </is>
      </c>
      <c r="N31" s="46" t="inlineStr">
        <is>
          <t>COMPONENT</t>
        </is>
      </c>
      <c r="O31" s="46" t="inlineStr">
        <is>
          <t>KEEP_PACKAGE_UNIT</t>
        </is>
      </c>
      <c r="P31" s="46">
        <f>IF(COUNTA(D31:G31)=4,"OK","MANUAL_REVIEW")</f>
        <v/>
      </c>
      <c r="Q31" s="46" t="inlineStr">
        <is>
          <t>기본은 패키지 상태 그대로 계산. BOM 존재 + 정책 허용 + 필요 시에만 해체.</t>
        </is>
      </c>
    </row>
    <row r="32" ht="30" customHeight="1" s="42">
      <c r="A32" s="46" t="inlineStr">
        <is>
          <t>B100260</t>
        </is>
      </c>
      <c r="B32" s="3" t="inlineStr">
        <is>
          <t>뉴럭스100u</t>
        </is>
      </c>
      <c r="C32" s="8" t="n">
        <v>10</v>
      </c>
      <c r="D32" s="58" t="n">
        <v>16.8</v>
      </c>
      <c r="E32" s="58" t="n">
        <v>14.3</v>
      </c>
      <c r="F32" s="58" t="n">
        <v>5.5</v>
      </c>
      <c r="G32" s="55" t="n">
        <v>0.323</v>
      </c>
      <c r="H32" s="46" t="inlineStr">
        <is>
          <t>잔량처리시만허용</t>
        </is>
      </c>
      <c r="I32" s="9" t="inlineStr">
        <is>
          <t>Y</t>
        </is>
      </c>
      <c r="J32" s="46" t="inlineStr">
        <is>
          <t>패키지 상품 정보.xlsx</t>
        </is>
      </c>
      <c r="K32" s="46" t="inlineStr">
        <is>
          <t>PACKAGE_AS_IS_FIRST</t>
        </is>
      </c>
      <c r="L32" s="46">
        <f>IF(COUNTIF(package_bom_master!$A:$A,A32)&gt;0,"Y","N")</f>
        <v/>
      </c>
      <c r="M32" s="46" t="inlineStr">
        <is>
          <t>NEED_AND_BOM_ONLY</t>
        </is>
      </c>
      <c r="N32" s="46" t="inlineStr">
        <is>
          <t>COMPONENT</t>
        </is>
      </c>
      <c r="O32" s="46" t="inlineStr">
        <is>
          <t>KEEP_PACKAGE_UNIT</t>
        </is>
      </c>
      <c r="P32" s="46">
        <f>IF(COUNTA(D32:G32)=4,"OK","MANUAL_REVIEW")</f>
        <v/>
      </c>
      <c r="Q32" s="46" t="inlineStr">
        <is>
          <t>기본은 패키지 상태 그대로 계산. BOM 존재 + 정책 허용 + 필요 시에만 해체.</t>
        </is>
      </c>
    </row>
    <row r="33" ht="30" customHeight="1" s="42">
      <c r="A33" s="46" t="inlineStr">
        <is>
          <t>B100410</t>
        </is>
      </c>
      <c r="B33" s="3" t="inlineStr">
        <is>
          <t>리엔톡스100u</t>
        </is>
      </c>
      <c r="C33" s="8" t="n">
        <v>100</v>
      </c>
      <c r="D33" s="58" t="n">
        <v>28</v>
      </c>
      <c r="E33" s="58" t="n">
        <v>23.3</v>
      </c>
      <c r="F33" s="58" t="n">
        <v>18.9</v>
      </c>
      <c r="G33" s="55" t="n">
        <v>2.791</v>
      </c>
      <c r="H33" s="46" t="inlineStr">
        <is>
          <t>잔량처리시만허용</t>
        </is>
      </c>
      <c r="I33" s="9" t="inlineStr">
        <is>
          <t>Y</t>
        </is>
      </c>
      <c r="J33" s="46" t="inlineStr">
        <is>
          <t>패키지 상품 정보.xlsx</t>
        </is>
      </c>
      <c r="K33" s="46" t="inlineStr">
        <is>
          <t>PACKAGE_AS_IS_FIRST</t>
        </is>
      </c>
      <c r="L33" s="46">
        <f>IF(COUNTIF(package_bom_master!$A:$A,A33)&gt;0,"Y","N")</f>
        <v/>
      </c>
      <c r="M33" s="46" t="inlineStr">
        <is>
          <t>NEED_AND_BOM_ONLY</t>
        </is>
      </c>
      <c r="N33" s="46" t="inlineStr">
        <is>
          <t>COMPONENT</t>
        </is>
      </c>
      <c r="O33" s="46" t="inlineStr">
        <is>
          <t>KEEP_PACKAGE_UNIT</t>
        </is>
      </c>
      <c r="P33" s="46">
        <f>IF(COUNTA(D33:G33)=4,"OK","MANUAL_REVIEW")</f>
        <v/>
      </c>
      <c r="Q33" s="46" t="inlineStr">
        <is>
          <t>기본은 패키지 상태 그대로 계산. BOM 존재 + 정책 허용 + 필요 시에만 해체.</t>
        </is>
      </c>
    </row>
    <row r="34" ht="30" customHeight="1" s="42">
      <c r="A34" s="46" t="inlineStr">
        <is>
          <t>B100420</t>
        </is>
      </c>
      <c r="B34" s="3" t="inlineStr">
        <is>
          <t>리엔톡스200u</t>
        </is>
      </c>
      <c r="C34" s="8" t="n">
        <v>100</v>
      </c>
      <c r="D34" s="58" t="n">
        <v>28</v>
      </c>
      <c r="E34" s="58" t="n">
        <v>23.3</v>
      </c>
      <c r="F34" s="58" t="n">
        <v>18.9</v>
      </c>
      <c r="G34" s="55" t="n">
        <v>2.791</v>
      </c>
      <c r="H34" s="46" t="inlineStr">
        <is>
          <t>잔량처리시만허용</t>
        </is>
      </c>
      <c r="I34" s="9" t="inlineStr">
        <is>
          <t>Y</t>
        </is>
      </c>
      <c r="J34" s="46" t="inlineStr">
        <is>
          <t>패키지 상품 정보.xlsx</t>
        </is>
      </c>
      <c r="K34" s="46" t="inlineStr">
        <is>
          <t>PACKAGE_AS_IS_FIRST</t>
        </is>
      </c>
      <c r="L34" s="46">
        <f>IF(COUNTIF(package_bom_master!$A:$A,A34)&gt;0,"Y","N")</f>
        <v/>
      </c>
      <c r="M34" s="46" t="inlineStr">
        <is>
          <t>NEED_AND_BOM_ONLY</t>
        </is>
      </c>
      <c r="N34" s="46" t="inlineStr">
        <is>
          <t>COMPONENT</t>
        </is>
      </c>
      <c r="O34" s="46" t="inlineStr">
        <is>
          <t>KEEP_PACKAGE_UNIT</t>
        </is>
      </c>
      <c r="P34" s="46">
        <f>IF(COUNTA(D34:G34)=4,"OK","MANUAL_REVIEW")</f>
        <v/>
      </c>
      <c r="Q34" s="46" t="inlineStr">
        <is>
          <t>기본은 패키지 상태 그대로 계산. BOM 존재 + 정책 허용 + 필요 시에만 해체.</t>
        </is>
      </c>
    </row>
    <row r="35" ht="30" customHeight="1" s="42">
      <c r="A35" s="46" t="inlineStr">
        <is>
          <t>B100610</t>
        </is>
      </c>
      <c r="B35" s="3" t="inlineStr">
        <is>
          <t>메디톡신100u</t>
        </is>
      </c>
      <c r="C35" s="8" t="n">
        <v>10</v>
      </c>
      <c r="D35" s="58" t="n">
        <v>16.6</v>
      </c>
      <c r="E35" s="58" t="n">
        <v>14.5</v>
      </c>
      <c r="F35" s="58" t="n">
        <v>5.6</v>
      </c>
      <c r="G35" s="55" t="n">
        <v>0.323</v>
      </c>
      <c r="H35" s="46" t="inlineStr">
        <is>
          <t>잔량처리시만허용</t>
        </is>
      </c>
      <c r="I35" s="9" t="inlineStr">
        <is>
          <t>Y</t>
        </is>
      </c>
      <c r="J35" s="46" t="inlineStr">
        <is>
          <t>패키지 상품 정보.xlsx</t>
        </is>
      </c>
      <c r="K35" s="46" t="inlineStr">
        <is>
          <t>PACKAGE_AS_IS_FIRST</t>
        </is>
      </c>
      <c r="L35" s="46">
        <f>IF(COUNTIF(package_bom_master!$A:$A,A35)&gt;0,"Y","N")</f>
        <v/>
      </c>
      <c r="M35" s="46" t="inlineStr">
        <is>
          <t>NEED_AND_BOM_ONLY</t>
        </is>
      </c>
      <c r="N35" s="46" t="inlineStr">
        <is>
          <t>COMPONENT</t>
        </is>
      </c>
      <c r="O35" s="46" t="inlineStr">
        <is>
          <t>KEEP_PACKAGE_UNIT</t>
        </is>
      </c>
      <c r="P35" s="46">
        <f>IF(COUNTA(D35:G35)=4,"OK","MANUAL_REVIEW")</f>
        <v/>
      </c>
      <c r="Q35" s="46" t="inlineStr">
        <is>
          <t>기본은 패키지 상태 그대로 계산. BOM 존재 + 정책 허용 + 필요 시에만 해체.</t>
        </is>
      </c>
    </row>
    <row r="36" ht="30" customHeight="1" s="42">
      <c r="A36" s="46" t="inlineStr">
        <is>
          <t>B100630</t>
        </is>
      </c>
      <c r="B36" s="3" t="inlineStr">
        <is>
          <t>메디톡신200u</t>
        </is>
      </c>
      <c r="C36" s="8" t="n">
        <v>10</v>
      </c>
      <c r="D36" s="58" t="n">
        <v>16.6</v>
      </c>
      <c r="E36" s="58" t="n">
        <v>14.5</v>
      </c>
      <c r="F36" s="58" t="n">
        <v>5.6</v>
      </c>
      <c r="G36" s="55" t="n">
        <v>0.329</v>
      </c>
      <c r="H36" s="46" t="inlineStr">
        <is>
          <t>잔량처리시만허용</t>
        </is>
      </c>
      <c r="I36" s="9" t="inlineStr">
        <is>
          <t>Y</t>
        </is>
      </c>
      <c r="J36" s="46" t="inlineStr">
        <is>
          <t>패키지 상품 정보.xlsx</t>
        </is>
      </c>
      <c r="K36" s="46" t="inlineStr">
        <is>
          <t>PACKAGE_AS_IS_FIRST</t>
        </is>
      </c>
      <c r="L36" s="46">
        <f>IF(COUNTIF(package_bom_master!$A:$A,A36)&gt;0,"Y","N")</f>
        <v/>
      </c>
      <c r="M36" s="46" t="inlineStr">
        <is>
          <t>NEED_AND_BOM_ONLY</t>
        </is>
      </c>
      <c r="N36" s="46" t="inlineStr">
        <is>
          <t>COMPONENT</t>
        </is>
      </c>
      <c r="O36" s="46" t="inlineStr">
        <is>
          <t>KEEP_PACKAGE_UNIT</t>
        </is>
      </c>
      <c r="P36" s="46">
        <f>IF(COUNTA(D36:G36)=4,"OK","MANUAL_REVIEW")</f>
        <v/>
      </c>
      <c r="Q36" s="46" t="inlineStr">
        <is>
          <t>기본은 패키지 상태 그대로 계산. BOM 존재 + 정책 허용 + 필요 시에만 해체.</t>
        </is>
      </c>
    </row>
    <row r="37" ht="30" customHeight="1" s="42">
      <c r="A37" s="46" t="inlineStr">
        <is>
          <t>B101110</t>
        </is>
      </c>
      <c r="B37" s="3" t="inlineStr">
        <is>
          <t>이노톡스50u</t>
        </is>
      </c>
      <c r="C37" s="8" t="n">
        <v>10</v>
      </c>
      <c r="D37" s="58" t="n">
        <v>16.7</v>
      </c>
      <c r="E37" s="58" t="n">
        <v>14.5</v>
      </c>
      <c r="F37" s="58" t="n">
        <v>5.5</v>
      </c>
      <c r="G37" s="55" t="n">
        <v>0.284</v>
      </c>
      <c r="H37" s="46" t="inlineStr">
        <is>
          <t>잔량처리시만허용</t>
        </is>
      </c>
      <c r="I37" s="9" t="inlineStr">
        <is>
          <t>Y</t>
        </is>
      </c>
      <c r="J37" s="46" t="inlineStr">
        <is>
          <t>패키지 상품 정보.xlsx</t>
        </is>
      </c>
      <c r="K37" s="46" t="inlineStr">
        <is>
          <t>PACKAGE_AS_IS_FIRST</t>
        </is>
      </c>
      <c r="L37" s="46">
        <f>IF(COUNTIF(package_bom_master!$A:$A,A37)&gt;0,"Y","N")</f>
        <v/>
      </c>
      <c r="M37" s="46" t="inlineStr">
        <is>
          <t>NEED_AND_BOM_ONLY</t>
        </is>
      </c>
      <c r="N37" s="46" t="inlineStr">
        <is>
          <t>COMPONENT</t>
        </is>
      </c>
      <c r="O37" s="46" t="inlineStr">
        <is>
          <t>KEEP_PACKAGE_UNIT</t>
        </is>
      </c>
      <c r="P37" s="46">
        <f>IF(COUNTA(D37:G37)=4,"OK","MANUAL_REVIEW")</f>
        <v/>
      </c>
      <c r="Q37" s="46" t="inlineStr">
        <is>
          <t>기본은 패키지 상태 그대로 계산. BOM 존재 + 정책 허용 + 필요 시에만 해체.</t>
        </is>
      </c>
    </row>
    <row r="38" ht="30" customHeight="1" s="42">
      <c r="A38" s="46" t="inlineStr">
        <is>
          <t>B101120</t>
        </is>
      </c>
      <c r="B38" s="3" t="inlineStr">
        <is>
          <t>이노톡스100u</t>
        </is>
      </c>
      <c r="C38" s="8" t="n">
        <v>10</v>
      </c>
      <c r="D38" s="58" t="n">
        <v>16.38</v>
      </c>
      <c r="E38" s="58" t="n">
        <v>14.4</v>
      </c>
      <c r="F38" s="58" t="n">
        <v>5.5</v>
      </c>
      <c r="G38" s="55" t="n">
        <v>0.352</v>
      </c>
      <c r="H38" s="46" t="inlineStr">
        <is>
          <t>잔량처리시만허용</t>
        </is>
      </c>
      <c r="I38" s="9" t="inlineStr">
        <is>
          <t>Y</t>
        </is>
      </c>
      <c r="J38" s="46" t="inlineStr">
        <is>
          <t>패키지 상품 정보.xlsx</t>
        </is>
      </c>
      <c r="K38" s="46" t="inlineStr">
        <is>
          <t>PACKAGE_AS_IS_FIRST</t>
        </is>
      </c>
      <c r="L38" s="46">
        <f>IF(COUNTIF(package_bom_master!$A:$A,A38)&gt;0,"Y","N")</f>
        <v/>
      </c>
      <c r="M38" s="46" t="inlineStr">
        <is>
          <t>NEED_AND_BOM_ONLY</t>
        </is>
      </c>
      <c r="N38" s="46" t="inlineStr">
        <is>
          <t>COMPONENT</t>
        </is>
      </c>
      <c r="O38" s="46" t="inlineStr">
        <is>
          <t>KEEP_PACKAGE_UNIT</t>
        </is>
      </c>
      <c r="P38" s="46">
        <f>IF(COUNTA(D38:G38)=4,"OK","MANUAL_REVIEW")</f>
        <v/>
      </c>
      <c r="Q38" s="46" t="inlineStr">
        <is>
          <t>기본은 패키지 상태 그대로 계산. BOM 존재 + 정책 허용 + 필요 시에만 해체.</t>
        </is>
      </c>
    </row>
    <row r="39" ht="30" customHeight="1" s="42">
      <c r="A39" s="46" t="inlineStr">
        <is>
          <t>B101420</t>
        </is>
      </c>
      <c r="B39" s="3" t="inlineStr">
        <is>
          <t>카이맥스200u</t>
        </is>
      </c>
      <c r="C39" s="8" t="n">
        <v>10</v>
      </c>
      <c r="D39" s="58" t="n">
        <v>17.2</v>
      </c>
      <c r="E39" s="58" t="n">
        <v>11.3</v>
      </c>
      <c r="F39" s="58" t="n">
        <v>8.6</v>
      </c>
      <c r="G39" s="55" t="n">
        <v>0.312</v>
      </c>
      <c r="H39" s="46" t="inlineStr">
        <is>
          <t>잔량처리시만허용</t>
        </is>
      </c>
      <c r="I39" s="9" t="inlineStr">
        <is>
          <t>Y</t>
        </is>
      </c>
      <c r="J39" s="46" t="inlineStr">
        <is>
          <t>패키지 상품 정보.xlsx</t>
        </is>
      </c>
      <c r="K39" s="46" t="inlineStr">
        <is>
          <t>PACKAGE_AS_IS_FIRST</t>
        </is>
      </c>
      <c r="L39" s="46">
        <f>IF(COUNTIF(package_bom_master!$A:$A,A39)&gt;0,"Y","N")</f>
        <v/>
      </c>
      <c r="M39" s="46" t="inlineStr">
        <is>
          <t>NEED_AND_BOM_ONLY</t>
        </is>
      </c>
      <c r="N39" s="46" t="inlineStr">
        <is>
          <t>COMPONENT</t>
        </is>
      </c>
      <c r="O39" s="46" t="inlineStr">
        <is>
          <t>KEEP_PACKAGE_UNIT</t>
        </is>
      </c>
      <c r="P39" s="46">
        <f>IF(COUNTA(D39:G39)=4,"OK","MANUAL_REVIEW")</f>
        <v/>
      </c>
      <c r="Q39" s="46" t="inlineStr">
        <is>
          <t>기본은 패키지 상태 그대로 계산. BOM 존재 + 정책 허용 + 필요 시에만 해체.</t>
        </is>
      </c>
    </row>
    <row r="40" ht="30" customHeight="1" s="42">
      <c r="A40" s="46" t="inlineStr">
        <is>
          <t>B101410</t>
        </is>
      </c>
      <c r="B40" s="3" t="inlineStr">
        <is>
          <t>카이맥스100u</t>
        </is>
      </c>
      <c r="C40" s="8" t="n">
        <v>10</v>
      </c>
      <c r="D40" s="58" t="n">
        <v>17.2</v>
      </c>
      <c r="E40" s="58" t="n">
        <v>11.3</v>
      </c>
      <c r="F40" s="58" t="n">
        <v>8.6</v>
      </c>
      <c r="G40" s="55" t="n">
        <v>0.312</v>
      </c>
      <c r="H40" s="46" t="inlineStr">
        <is>
          <t>잔량처리시만허용</t>
        </is>
      </c>
      <c r="I40" s="9" t="inlineStr">
        <is>
          <t>Y</t>
        </is>
      </c>
      <c r="J40" s="46" t="inlineStr">
        <is>
          <t>패키지 상품 정보.xlsx</t>
        </is>
      </c>
      <c r="K40" s="46" t="inlineStr">
        <is>
          <t>PACKAGE_AS_IS_FIRST</t>
        </is>
      </c>
      <c r="L40" s="46">
        <f>IF(COUNTIF(package_bom_master!$A:$A,A40)&gt;0,"Y","N")</f>
        <v/>
      </c>
      <c r="M40" s="46" t="inlineStr">
        <is>
          <t>NEED_AND_BOM_ONLY</t>
        </is>
      </c>
      <c r="N40" s="46" t="inlineStr">
        <is>
          <t>COMPONENT</t>
        </is>
      </c>
      <c r="O40" s="46" t="inlineStr">
        <is>
          <t>KEEP_PACKAGE_UNIT</t>
        </is>
      </c>
      <c r="P40" s="46">
        <f>IF(COUNTA(D40:G40)=4,"OK","MANUAL_REVIEW")</f>
        <v/>
      </c>
      <c r="Q40" s="46" t="inlineStr">
        <is>
          <t>기본은 패키지 상태 그대로 계산. BOM 존재 + 정책 허용 + 필요 시에만 해체.</t>
        </is>
      </c>
    </row>
    <row r="41" ht="30" customHeight="1" s="42">
      <c r="A41" s="46" t="inlineStr">
        <is>
          <t>B101510</t>
        </is>
      </c>
      <c r="B41" s="3" t="inlineStr">
        <is>
          <t>코어톡스100u</t>
        </is>
      </c>
      <c r="C41" s="8" t="n">
        <v>10</v>
      </c>
      <c r="D41" s="58" t="n">
        <v>16.8</v>
      </c>
      <c r="E41" s="58" t="n">
        <v>14.4</v>
      </c>
      <c r="F41" s="58" t="n">
        <v>5.5</v>
      </c>
      <c r="G41" s="55" t="n">
        <v>0.323</v>
      </c>
      <c r="H41" s="46" t="inlineStr">
        <is>
          <t>잔량처리시만허용</t>
        </is>
      </c>
      <c r="I41" s="9" t="inlineStr">
        <is>
          <t>Y</t>
        </is>
      </c>
      <c r="J41" s="46" t="inlineStr">
        <is>
          <t>패키지 상품 정보.xlsx</t>
        </is>
      </c>
      <c r="K41" s="46" t="inlineStr">
        <is>
          <t>PACKAGE_AS_IS_FIRST</t>
        </is>
      </c>
      <c r="L41" s="46">
        <f>IF(COUNTIF(package_bom_master!$A:$A,A41)&gt;0,"Y","N")</f>
        <v/>
      </c>
      <c r="M41" s="46" t="inlineStr">
        <is>
          <t>NEED_AND_BOM_ONLY</t>
        </is>
      </c>
      <c r="N41" s="46" t="inlineStr">
        <is>
          <t>COMPONENT</t>
        </is>
      </c>
      <c r="O41" s="46" t="inlineStr">
        <is>
          <t>KEEP_PACKAGE_UNIT</t>
        </is>
      </c>
      <c r="P41" s="46">
        <f>IF(COUNTA(D41:G41)=4,"OK","MANUAL_REVIEW")</f>
        <v/>
      </c>
      <c r="Q41" s="46" t="inlineStr">
        <is>
          <t>기본은 패키지 상태 그대로 계산. BOM 존재 + 정책 허용 + 필요 시에만 해체.</t>
        </is>
      </c>
    </row>
    <row r="42" ht="30" customHeight="1" s="42">
      <c r="A42" s="46" t="inlineStr">
        <is>
          <t>B301610</t>
        </is>
      </c>
      <c r="B42" s="3" t="inlineStr">
        <is>
          <t>쥬베룩50mg (내수용)</t>
        </is>
      </c>
      <c r="C42" s="8" t="n">
        <v>10</v>
      </c>
      <c r="D42" s="58" t="n">
        <v>15.8</v>
      </c>
      <c r="E42" s="58" t="n">
        <v>7.7</v>
      </c>
      <c r="F42" s="58" t="n">
        <v>7.7</v>
      </c>
      <c r="G42" s="55" t="n">
        <v>0.205</v>
      </c>
      <c r="H42" s="46" t="inlineStr">
        <is>
          <t>잔량처리시만허용</t>
        </is>
      </c>
      <c r="I42" s="9" t="inlineStr">
        <is>
          <t>Y</t>
        </is>
      </c>
      <c r="J42" s="46" t="inlineStr">
        <is>
          <t>패키지 상품 정보.xlsx</t>
        </is>
      </c>
      <c r="K42" s="46" t="inlineStr">
        <is>
          <t>PACKAGE_AS_IS_FIRST</t>
        </is>
      </c>
      <c r="L42" s="46">
        <f>IF(COUNTIF(package_bom_master!$A:$A,A42)&gt;0,"Y","N")</f>
        <v/>
      </c>
      <c r="M42" s="46" t="inlineStr">
        <is>
          <t>NEED_AND_BOM_ONLY</t>
        </is>
      </c>
      <c r="N42" s="46" t="inlineStr">
        <is>
          <t>COMPONENT</t>
        </is>
      </c>
      <c r="O42" s="46" t="inlineStr">
        <is>
          <t>KEEP_PACKAGE_UNIT</t>
        </is>
      </c>
      <c r="P42" s="46">
        <f>IF(COUNTA(D42:G42)=4,"OK","MANUAL_REVIEW")</f>
        <v/>
      </c>
      <c r="Q42" s="46" t="inlineStr">
        <is>
          <t>기본은 패키지 상태 그대로 계산. BOM 존재 + 정책 허용 + 필요 시에만 해체.</t>
        </is>
      </c>
    </row>
    <row r="43" ht="30" customHeight="1" s="42">
      <c r="A43" s="46" t="inlineStr">
        <is>
          <t>B301620</t>
        </is>
      </c>
      <c r="B43" s="3" t="inlineStr">
        <is>
          <t>쥬베룩 볼륨200mg (내수용)</t>
        </is>
      </c>
      <c r="C43" s="8" t="n">
        <v>10</v>
      </c>
      <c r="D43" s="58" t="n">
        <v>15.7</v>
      </c>
      <c r="E43" s="58" t="n">
        <v>7.6</v>
      </c>
      <c r="F43" s="58" t="n">
        <v>7.4</v>
      </c>
      <c r="G43" s="55" t="n">
        <v>0.205</v>
      </c>
      <c r="H43" s="46" t="inlineStr">
        <is>
          <t>잔량처리시만허용</t>
        </is>
      </c>
      <c r="I43" s="9" t="inlineStr">
        <is>
          <t>Y</t>
        </is>
      </c>
      <c r="J43" s="46" t="inlineStr">
        <is>
          <t>패키지 상품 정보.xlsx</t>
        </is>
      </c>
      <c r="K43" s="46" t="inlineStr">
        <is>
          <t>PACKAGE_AS_IS_FIRST</t>
        </is>
      </c>
      <c r="L43" s="46">
        <f>IF(COUNTIF(package_bom_master!$A:$A,A43)&gt;0,"Y","N")</f>
        <v/>
      </c>
      <c r="M43" s="46" t="inlineStr">
        <is>
          <t>NEED_AND_BOM_ONLY</t>
        </is>
      </c>
      <c r="N43" s="46" t="inlineStr">
        <is>
          <t>COMPONENT</t>
        </is>
      </c>
      <c r="O43" s="46" t="inlineStr">
        <is>
          <t>KEEP_PACKAGE_UNIT</t>
        </is>
      </c>
      <c r="P43" s="46">
        <f>IF(COUNTA(D43:G43)=4,"OK","MANUAL_REVIEW")</f>
        <v/>
      </c>
      <c r="Q43" s="46" t="inlineStr">
        <is>
          <t>기본은 패키지 상태 그대로 계산. BOM 존재 + 정책 허용 + 필요 시에만 해체.</t>
        </is>
      </c>
    </row>
    <row r="44" ht="30" customHeight="1" s="42">
      <c r="A44" s="46" t="inlineStr">
        <is>
          <t>B307310</t>
        </is>
      </c>
      <c r="B44" s="3" t="inlineStr">
        <is>
          <t>올리디아</t>
        </is>
      </c>
      <c r="C44" s="8" t="n">
        <v>10</v>
      </c>
      <c r="D44" s="58" t="n">
        <v>18.6</v>
      </c>
      <c r="E44" s="58" t="n">
        <v>7.5</v>
      </c>
      <c r="F44" s="58" t="n">
        <v>6.5</v>
      </c>
      <c r="G44" s="55" t="n">
        <v>0.231</v>
      </c>
      <c r="H44" s="46" t="inlineStr">
        <is>
          <t>잔량처리시만허용</t>
        </is>
      </c>
      <c r="I44" s="9" t="inlineStr">
        <is>
          <t>Y</t>
        </is>
      </c>
      <c r="J44" s="46" t="inlineStr">
        <is>
          <t>패키지 상품 정보.xlsx</t>
        </is>
      </c>
      <c r="K44" s="46" t="inlineStr">
        <is>
          <t>PACKAGE_AS_IS_FIRST</t>
        </is>
      </c>
      <c r="L44" s="46">
        <f>IF(COUNTIF(package_bom_master!$A:$A,A44)&gt;0,"Y","N")</f>
        <v/>
      </c>
      <c r="M44" s="46" t="inlineStr">
        <is>
          <t>NEED_AND_BOM_ONLY</t>
        </is>
      </c>
      <c r="N44" s="46" t="inlineStr">
        <is>
          <t>COMPONENT</t>
        </is>
      </c>
      <c r="O44" s="46" t="inlineStr">
        <is>
          <t>KEEP_PACKAGE_UNIT</t>
        </is>
      </c>
      <c r="P44" s="46">
        <f>IF(COUNTA(D44:G44)=4,"OK","MANUAL_REVIEW")</f>
        <v/>
      </c>
      <c r="Q44" s="46" t="inlineStr">
        <is>
          <t>기본은 패키지 상태 그대로 계산. BOM 존재 + 정책 허용 + 필요 시에만 해체.</t>
        </is>
      </c>
    </row>
    <row r="45" ht="30" customHeight="1" s="42">
      <c r="A45" s="46" t="inlineStr">
        <is>
          <t>B308280</t>
        </is>
      </c>
      <c r="B45" s="3" t="inlineStr">
        <is>
          <t>핑크라</t>
        </is>
      </c>
      <c r="C45" s="8" t="n">
        <v>10</v>
      </c>
      <c r="D45" s="58" t="n">
        <v>18</v>
      </c>
      <c r="E45" s="58" t="n">
        <v>7.4</v>
      </c>
      <c r="F45" s="58" t="n">
        <v>6.5</v>
      </c>
      <c r="G45" s="55" t="n">
        <v>0.218</v>
      </c>
      <c r="H45" s="46" t="inlineStr">
        <is>
          <t>잔량처리시만허용</t>
        </is>
      </c>
      <c r="I45" s="9" t="inlineStr">
        <is>
          <t>Y</t>
        </is>
      </c>
      <c r="J45" s="46" t="inlineStr">
        <is>
          <t>패키지 상품 정보.xlsx</t>
        </is>
      </c>
      <c r="K45" s="46" t="inlineStr">
        <is>
          <t>PACKAGE_AS_IS_FIRST</t>
        </is>
      </c>
      <c r="L45" s="46">
        <f>IF(COUNTIF(package_bom_master!$A:$A,A45)&gt;0,"Y","N")</f>
        <v/>
      </c>
      <c r="M45" s="46" t="inlineStr">
        <is>
          <t>NEED_AND_BOM_ONLY</t>
        </is>
      </c>
      <c r="N45" s="46" t="inlineStr">
        <is>
          <t>COMPONENT</t>
        </is>
      </c>
      <c r="O45" s="46" t="inlineStr">
        <is>
          <t>KEEP_PACKAGE_UNIT</t>
        </is>
      </c>
      <c r="P45" s="46">
        <f>IF(COUNTA(D45:G45)=4,"OK","MANUAL_REVIEW")</f>
        <v/>
      </c>
      <c r="Q45" s="46" t="inlineStr">
        <is>
          <t>기본은 패키지 상태 그대로 계산. BOM 존재 + 정책 허용 + 필요 시에만 해체.</t>
        </is>
      </c>
    </row>
    <row r="46" ht="30" customHeight="1" s="42">
      <c r="A46" s="46" t="inlineStr">
        <is>
          <t>B309230</t>
        </is>
      </c>
      <c r="B46" s="3" t="inlineStr">
        <is>
          <t>트리암시놀론주40mg</t>
        </is>
      </c>
      <c r="C46" s="8" t="n">
        <v>10</v>
      </c>
      <c r="D46" s="58" t="n">
        <v>39.8</v>
      </c>
      <c r="E46" s="58" t="n">
        <v>9.5</v>
      </c>
      <c r="F46" s="58" t="n">
        <v>9</v>
      </c>
      <c r="G46" s="55" t="n">
        <v>2.152</v>
      </c>
      <c r="H46" s="46" t="inlineStr">
        <is>
          <t>잔량처리시만허용</t>
        </is>
      </c>
      <c r="I46" s="9" t="inlineStr">
        <is>
          <t>Y</t>
        </is>
      </c>
      <c r="J46" s="46" t="inlineStr">
        <is>
          <t>패키지 상품 정보.xlsx</t>
        </is>
      </c>
      <c r="K46" s="46" t="inlineStr">
        <is>
          <t>PACKAGE_AS_IS_FIRST</t>
        </is>
      </c>
      <c r="L46" s="46">
        <f>IF(COUNTIF(package_bom_master!$A:$A,A46)&gt;0,"Y","N")</f>
        <v/>
      </c>
      <c r="M46" s="46" t="inlineStr">
        <is>
          <t>NEED_AND_BOM_ONLY</t>
        </is>
      </c>
      <c r="N46" s="46" t="inlineStr">
        <is>
          <t>COMPONENT</t>
        </is>
      </c>
      <c r="O46" s="46" t="inlineStr">
        <is>
          <t>KEEP_PACKAGE_UNIT</t>
        </is>
      </c>
      <c r="P46" s="46">
        <f>IF(COUNTA(D46:G46)=4,"OK","MANUAL_REVIEW")</f>
        <v/>
      </c>
      <c r="Q46" s="46" t="inlineStr">
        <is>
          <t>기본은 패키지 상태 그대로 계산. BOM 존재 + 정책 허용 + 필요 시에만 해체.</t>
        </is>
      </c>
    </row>
    <row r="47" ht="30" customHeight="1" s="42">
      <c r="A47" s="46" t="n"/>
      <c r="B47" s="3" t="n"/>
      <c r="C47" s="8" t="n"/>
      <c r="D47" s="58" t="n"/>
      <c r="E47" s="58" t="n"/>
      <c r="F47" s="58" t="n"/>
      <c r="G47" s="55" t="n"/>
      <c r="H47" s="46" t="n"/>
      <c r="I47" s="9" t="n"/>
      <c r="J47" s="46" t="n"/>
      <c r="K47" s="46" t="n"/>
      <c r="L47" s="46" t="n"/>
      <c r="M47" s="46" t="n"/>
      <c r="N47" s="46" t="n"/>
      <c r="O47" s="46" t="n"/>
      <c r="P47" s="46" t="n"/>
      <c r="Q47" s="46" t="n"/>
    </row>
    <row r="48" ht="30" customHeight="1" s="42">
      <c r="A48" s="46" t="n"/>
      <c r="B48" s="3" t="n"/>
      <c r="C48" s="8" t="n"/>
      <c r="D48" s="58" t="n"/>
      <c r="E48" s="58" t="n"/>
      <c r="F48" s="58" t="n"/>
      <c r="G48" s="55" t="n"/>
      <c r="H48" s="46" t="n"/>
      <c r="I48" s="9" t="n"/>
      <c r="J48" s="46" t="n"/>
      <c r="K48" s="46" t="n"/>
      <c r="L48" s="46" t="n"/>
      <c r="M48" s="46" t="n"/>
      <c r="N48" s="46" t="n"/>
      <c r="O48" s="46" t="n"/>
      <c r="P48" s="46" t="n"/>
      <c r="Q48" s="46" t="n"/>
    </row>
    <row r="49" ht="30" customHeight="1" s="42">
      <c r="A49" s="46" t="n"/>
      <c r="B49" s="3" t="n"/>
      <c r="C49" s="8" t="n"/>
      <c r="D49" s="58" t="n"/>
      <c r="E49" s="58" t="n"/>
      <c r="F49" s="58" t="n"/>
      <c r="G49" s="55" t="n"/>
      <c r="H49" s="46" t="n"/>
      <c r="I49" s="9" t="n"/>
      <c r="J49" s="46" t="n"/>
      <c r="K49" s="46" t="n"/>
      <c r="L49" s="46" t="n"/>
      <c r="M49" s="46" t="n"/>
      <c r="N49" s="46" t="n"/>
      <c r="O49" s="46" t="n"/>
      <c r="P49" s="46" t="n"/>
      <c r="Q49" s="46" t="n"/>
    </row>
    <row r="50" ht="30" customHeight="1" s="42">
      <c r="A50" s="46" t="n"/>
      <c r="B50" s="3" t="n"/>
      <c r="C50" s="8" t="n"/>
      <c r="D50" s="58" t="n"/>
      <c r="E50" s="58" t="n"/>
      <c r="F50" s="58" t="n"/>
      <c r="G50" s="55" t="n"/>
      <c r="H50" s="46" t="n"/>
      <c r="I50" s="9" t="n"/>
      <c r="J50" s="46" t="n"/>
      <c r="K50" s="46" t="n"/>
      <c r="L50" s="46" t="n"/>
      <c r="M50" s="46" t="n"/>
      <c r="N50" s="46" t="n"/>
      <c r="O50" s="46" t="n"/>
      <c r="P50" s="46" t="n"/>
      <c r="Q50" s="46" t="n"/>
    </row>
    <row r="51" ht="30" customHeight="1" s="42">
      <c r="A51" s="46" t="n"/>
      <c r="B51" s="3" t="n"/>
      <c r="C51" s="8" t="n"/>
      <c r="D51" s="58" t="n"/>
      <c r="E51" s="58" t="n"/>
      <c r="F51" s="58" t="n"/>
      <c r="G51" s="55" t="n"/>
      <c r="H51" s="46" t="n"/>
      <c r="I51" s="9" t="n"/>
      <c r="J51" s="46" t="n"/>
      <c r="K51" s="46" t="n"/>
      <c r="L51" s="46" t="n"/>
      <c r="M51" s="46" t="n"/>
      <c r="N51" s="46" t="n"/>
      <c r="O51" s="46" t="n"/>
      <c r="P51" s="46" t="n"/>
      <c r="Q51" s="46" t="n"/>
    </row>
    <row r="52" ht="30" customHeight="1" s="42">
      <c r="A52" s="46" t="n"/>
      <c r="B52" s="3" t="n"/>
      <c r="C52" s="8" t="n"/>
      <c r="D52" s="58" t="n"/>
      <c r="E52" s="58" t="n"/>
      <c r="F52" s="58" t="n"/>
      <c r="G52" s="55" t="n"/>
      <c r="H52" s="46" t="n"/>
      <c r="I52" s="9" t="n"/>
      <c r="J52" s="46" t="n"/>
      <c r="K52" s="46" t="n"/>
      <c r="L52" s="46" t="n"/>
      <c r="M52" s="46" t="n"/>
      <c r="N52" s="46" t="n"/>
      <c r="O52" s="46" t="n"/>
      <c r="P52" s="46" t="n"/>
      <c r="Q52" s="46" t="n"/>
    </row>
  </sheetData>
  <mergeCells count="1">
    <mergeCell ref="A1:J1"/>
  </mergeCells>
  <conditionalFormatting sqref="A4:B46">
    <cfRule type="duplicateValues" priority="9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selection activeCell="F41" sqref="F41"/>
    </sheetView>
  </sheetViews>
  <sheetFormatPr baseColWidth="8" defaultRowHeight="15"/>
  <cols>
    <col width="9.28515625" customWidth="1" style="42" min="1" max="1"/>
    <col width="13.7109375" customWidth="1" style="42" min="2" max="2"/>
    <col width="11.28515625" customWidth="1" style="42" min="3" max="3"/>
    <col width="13.42578125" customWidth="1" style="42" min="4" max="9"/>
    <col width="12.85546875" customWidth="1" style="42" min="10" max="10"/>
    <col width="17" customWidth="1" style="42" min="11" max="11"/>
    <col width="6.85546875" customWidth="1" style="42" min="12" max="12"/>
    <col width="18.140625" customWidth="1" style="42" min="13" max="13"/>
    <col width="16" customWidth="1" style="42" min="14" max="14"/>
  </cols>
  <sheetData>
    <row r="1" ht="24" customHeight="1" s="42">
      <c r="A1" s="41" t="inlineStr">
        <is>
          <t>보유 박스 정보.xlsx 기준 정규화</t>
        </is>
      </c>
      <c r="N1" s="41" t="n"/>
    </row>
    <row r="3" ht="32.1" customHeight="1" s="42">
      <c r="A3" s="43" t="inlineStr">
        <is>
          <t>박스코드</t>
        </is>
      </c>
      <c r="B3" s="43" t="inlineStr">
        <is>
          <t>박스명</t>
        </is>
      </c>
      <c r="C3" s="43" t="inlineStr">
        <is>
          <t>원본박스명</t>
        </is>
      </c>
      <c r="D3" s="43" t="inlineStr">
        <is>
          <t>외경가로(cm)</t>
        </is>
      </c>
      <c r="E3" s="43" t="inlineStr">
        <is>
          <t>외경세로(cm)</t>
        </is>
      </c>
      <c r="F3" s="43" t="inlineStr">
        <is>
          <t>외경높이(cm)</t>
        </is>
      </c>
      <c r="G3" s="43" t="inlineStr">
        <is>
          <t>내경가로(cm)</t>
        </is>
      </c>
      <c r="H3" s="43" t="inlineStr">
        <is>
          <t>내경세로(cm)</t>
        </is>
      </c>
      <c r="I3" s="43" t="inlineStr">
        <is>
          <t>내경높이(cm)</t>
        </is>
      </c>
      <c r="J3" s="43" t="inlineStr">
        <is>
          <t>박스중량(kg)</t>
        </is>
      </c>
      <c r="K3" s="43" t="inlineStr">
        <is>
          <t>최대허용중량(kg)</t>
        </is>
      </c>
      <c r="L3" s="43" t="inlineStr">
        <is>
          <t>active</t>
        </is>
      </c>
      <c r="M3" s="43" t="inlineStr">
        <is>
          <t>원본파일</t>
        </is>
      </c>
      <c r="N3" s="43" t="inlineStr">
        <is>
          <t>박스정렬우선순위</t>
        </is>
      </c>
    </row>
    <row r="4">
      <c r="A4" s="3" t="inlineStr">
        <is>
          <t>BX001</t>
        </is>
      </c>
      <c r="B4" s="3" t="inlineStr">
        <is>
          <t>1호</t>
        </is>
      </c>
      <c r="C4" s="3" t="inlineStr">
        <is>
          <t>1호</t>
        </is>
      </c>
      <c r="D4" s="5" t="n">
        <v>22</v>
      </c>
      <c r="E4" s="5" t="n">
        <v>19</v>
      </c>
      <c r="F4" s="5" t="n">
        <v>9</v>
      </c>
      <c r="G4" s="5" t="n">
        <v>21</v>
      </c>
      <c r="H4" s="5" t="n">
        <v>18</v>
      </c>
      <c r="I4" s="5" t="n">
        <v>8</v>
      </c>
      <c r="J4" s="59" t="n">
        <v>0.12</v>
      </c>
      <c r="K4" s="5" t="n">
        <v>30</v>
      </c>
      <c r="L4" s="4" t="inlineStr">
        <is>
          <t>Y</t>
        </is>
      </c>
      <c r="M4" s="3" t="inlineStr">
        <is>
          <t>보유 박스 정보.xlsx</t>
        </is>
      </c>
      <c r="N4" s="5" t="n">
        <v>10</v>
      </c>
    </row>
    <row r="5">
      <c r="A5" s="3" t="inlineStr">
        <is>
          <t>BX002</t>
        </is>
      </c>
      <c r="B5" s="3" t="inlineStr">
        <is>
          <t>2호</t>
        </is>
      </c>
      <c r="C5" s="3" t="inlineStr">
        <is>
          <t>2호</t>
        </is>
      </c>
      <c r="D5" s="5" t="n">
        <v>27</v>
      </c>
      <c r="E5" s="5" t="n">
        <v>18</v>
      </c>
      <c r="F5" s="5" t="n">
        <v>15</v>
      </c>
      <c r="G5" s="5" t="n">
        <v>26</v>
      </c>
      <c r="H5" s="5" t="n">
        <v>17</v>
      </c>
      <c r="I5" s="5" t="n">
        <v>14</v>
      </c>
      <c r="J5" s="59" t="n">
        <v>0.18</v>
      </c>
      <c r="K5" s="5" t="n">
        <v>30</v>
      </c>
      <c r="L5" s="4" t="inlineStr">
        <is>
          <t>Y</t>
        </is>
      </c>
      <c r="M5" s="3" t="inlineStr">
        <is>
          <t>보유 박스 정보.xlsx</t>
        </is>
      </c>
      <c r="N5" s="5" t="n">
        <v>9</v>
      </c>
    </row>
    <row r="6">
      <c r="A6" s="3" t="inlineStr">
        <is>
          <t>BX003</t>
        </is>
      </c>
      <c r="B6" s="3" t="inlineStr">
        <is>
          <t>34.5x25.5x10.5</t>
        </is>
      </c>
      <c r="C6" s="3" t="inlineStr">
        <is>
          <t>명칭없음</t>
        </is>
      </c>
      <c r="D6" s="59" t="n">
        <v>34.5</v>
      </c>
      <c r="E6" s="59" t="n">
        <v>25.5</v>
      </c>
      <c r="F6" s="59" t="n">
        <v>10.5</v>
      </c>
      <c r="G6" s="59" t="n">
        <v>33.5</v>
      </c>
      <c r="H6" s="59" t="n">
        <v>24.5</v>
      </c>
      <c r="I6" s="59" t="n">
        <v>9.5</v>
      </c>
      <c r="J6" s="59" t="n">
        <v>0.22</v>
      </c>
      <c r="K6" s="5" t="n">
        <v>30</v>
      </c>
      <c r="L6" s="4" t="inlineStr">
        <is>
          <t>Y</t>
        </is>
      </c>
      <c r="M6" s="3" t="inlineStr">
        <is>
          <t>보유 박스 정보.xlsx</t>
        </is>
      </c>
      <c r="N6" s="5" t="n">
        <v>8</v>
      </c>
    </row>
    <row r="7">
      <c r="A7" s="3" t="inlineStr">
        <is>
          <t>BX004</t>
        </is>
      </c>
      <c r="B7" s="3" t="inlineStr">
        <is>
          <t>3호</t>
        </is>
      </c>
      <c r="C7" s="3" t="inlineStr">
        <is>
          <t>3호</t>
        </is>
      </c>
      <c r="D7" s="5" t="n">
        <v>34</v>
      </c>
      <c r="E7" s="5" t="n">
        <v>25</v>
      </c>
      <c r="F7" s="5" t="n">
        <v>21</v>
      </c>
      <c r="G7" s="5" t="n">
        <v>33</v>
      </c>
      <c r="H7" s="5" t="n">
        <v>24</v>
      </c>
      <c r="I7" s="5" t="n">
        <v>20</v>
      </c>
      <c r="J7" s="59" t="n">
        <v>0.5</v>
      </c>
      <c r="K7" s="5" t="n">
        <v>30</v>
      </c>
      <c r="L7" s="4" t="inlineStr">
        <is>
          <t>Y</t>
        </is>
      </c>
      <c r="M7" s="3" t="inlineStr">
        <is>
          <t>보유 박스 정보.xlsx</t>
        </is>
      </c>
      <c r="N7" s="5" t="n">
        <v>7</v>
      </c>
    </row>
    <row r="8">
      <c r="A8" s="3" t="inlineStr">
        <is>
          <t>BX005</t>
        </is>
      </c>
      <c r="B8" s="3" t="inlineStr">
        <is>
          <t>4호</t>
        </is>
      </c>
      <c r="C8" s="3" t="inlineStr">
        <is>
          <t>4호</t>
        </is>
      </c>
      <c r="D8" s="5" t="n">
        <v>41</v>
      </c>
      <c r="E8" s="5" t="n">
        <v>31</v>
      </c>
      <c r="F8" s="5" t="n">
        <v>28</v>
      </c>
      <c r="G8" s="5" t="n">
        <v>40</v>
      </c>
      <c r="H8" s="5" t="n">
        <v>30</v>
      </c>
      <c r="I8" s="5" t="n">
        <v>27</v>
      </c>
      <c r="J8" s="59" t="n">
        <v>0.72</v>
      </c>
      <c r="K8" s="5" t="n">
        <v>30</v>
      </c>
      <c r="L8" s="4" t="inlineStr">
        <is>
          <t>Y</t>
        </is>
      </c>
      <c r="M8" s="3" t="inlineStr">
        <is>
          <t>보유 박스 정보.xlsx</t>
        </is>
      </c>
      <c r="N8" s="5" t="n">
        <v>6</v>
      </c>
    </row>
    <row r="9">
      <c r="A9" s="3" t="inlineStr">
        <is>
          <t>BX006</t>
        </is>
      </c>
      <c r="B9" s="3" t="inlineStr">
        <is>
          <t>5호</t>
        </is>
      </c>
      <c r="C9" s="3" t="inlineStr">
        <is>
          <t>5호</t>
        </is>
      </c>
      <c r="D9" s="5" t="n">
        <v>48</v>
      </c>
      <c r="E9" s="5" t="n">
        <v>38</v>
      </c>
      <c r="F9" s="5" t="n">
        <v>34</v>
      </c>
      <c r="G9" s="5" t="n">
        <v>47</v>
      </c>
      <c r="H9" s="5" t="n">
        <v>37</v>
      </c>
      <c r="I9" s="5" t="n">
        <v>33</v>
      </c>
      <c r="J9" s="59" t="n">
        <v>1.26</v>
      </c>
      <c r="K9" s="5" t="n">
        <v>30</v>
      </c>
      <c r="L9" s="4" t="inlineStr">
        <is>
          <t>Y</t>
        </is>
      </c>
      <c r="M9" s="3" t="inlineStr">
        <is>
          <t>보유 박스 정보.xlsx</t>
        </is>
      </c>
      <c r="N9" s="5" t="n">
        <v>5</v>
      </c>
    </row>
    <row r="10">
      <c r="A10" s="3" t="inlineStr">
        <is>
          <t>BX007</t>
        </is>
      </c>
      <c r="B10" s="3" t="inlineStr">
        <is>
          <t>6호</t>
        </is>
      </c>
      <c r="C10" s="3" t="inlineStr">
        <is>
          <t>6호</t>
        </is>
      </c>
      <c r="D10" s="5" t="n">
        <v>52</v>
      </c>
      <c r="E10" s="5" t="n">
        <v>48</v>
      </c>
      <c r="F10" s="5" t="n">
        <v>40</v>
      </c>
      <c r="G10" s="59" t="n">
        <v>51.5</v>
      </c>
      <c r="H10" s="59" t="n">
        <v>47.5</v>
      </c>
      <c r="I10" s="59" t="n">
        <v>39.5</v>
      </c>
      <c r="J10" s="59" t="n">
        <v>1.52</v>
      </c>
      <c r="K10" s="5" t="n">
        <v>30</v>
      </c>
      <c r="L10" s="4" t="inlineStr">
        <is>
          <t>Y</t>
        </is>
      </c>
      <c r="M10" s="3" t="inlineStr">
        <is>
          <t>보유 박스 정보.xlsx</t>
        </is>
      </c>
      <c r="N10" s="5" t="n">
        <v>3</v>
      </c>
    </row>
    <row r="11">
      <c r="A11" s="3" t="inlineStr">
        <is>
          <t>BX008</t>
        </is>
      </c>
      <c r="B11" s="3" t="inlineStr">
        <is>
          <t>60x40x40</t>
        </is>
      </c>
      <c r="C11" s="3" t="inlineStr">
        <is>
          <t>명칭없음</t>
        </is>
      </c>
      <c r="D11" s="5" t="n">
        <v>60</v>
      </c>
      <c r="E11" s="5" t="n">
        <v>40</v>
      </c>
      <c r="F11" s="5" t="n">
        <v>40</v>
      </c>
      <c r="G11" s="5" t="n">
        <v>59</v>
      </c>
      <c r="H11" s="5" t="n">
        <v>39</v>
      </c>
      <c r="I11" s="5" t="n">
        <v>39</v>
      </c>
      <c r="J11" s="59" t="n">
        <v>1.62</v>
      </c>
      <c r="K11" s="5" t="n">
        <v>30</v>
      </c>
      <c r="L11" s="4" t="inlineStr">
        <is>
          <t>Y</t>
        </is>
      </c>
      <c r="M11" s="3" t="inlineStr">
        <is>
          <t>보유 박스 정보.xlsx</t>
        </is>
      </c>
      <c r="N11" s="5" t="n">
        <v>4</v>
      </c>
    </row>
    <row r="12">
      <c r="A12" s="3" t="inlineStr">
        <is>
          <t>BX009</t>
        </is>
      </c>
      <c r="B12" s="3" t="inlineStr">
        <is>
          <t>65x45x40</t>
        </is>
      </c>
      <c r="C12" s="3" t="inlineStr">
        <is>
          <t>명칭없음</t>
        </is>
      </c>
      <c r="D12" s="5" t="n">
        <v>65</v>
      </c>
      <c r="E12" s="5" t="n">
        <v>45</v>
      </c>
      <c r="F12" s="5" t="n">
        <v>40</v>
      </c>
      <c r="G12" s="5" t="n">
        <v>64</v>
      </c>
      <c r="H12" s="5" t="n">
        <v>44</v>
      </c>
      <c r="I12" s="5" t="n">
        <v>39</v>
      </c>
      <c r="J12" s="59" t="n">
        <v>1.44</v>
      </c>
      <c r="K12" s="5" t="n">
        <v>30</v>
      </c>
      <c r="L12" s="4" t="inlineStr">
        <is>
          <t>Y</t>
        </is>
      </c>
      <c r="M12" s="3" t="inlineStr">
        <is>
          <t>보유 박스 정보.xlsx</t>
        </is>
      </c>
      <c r="N12" s="5" t="n">
        <v>2</v>
      </c>
    </row>
    <row r="13">
      <c r="A13" s="3" t="inlineStr">
        <is>
          <t>BX010</t>
        </is>
      </c>
      <c r="B13" s="3" t="inlineStr">
        <is>
          <t>72x48x40</t>
        </is>
      </c>
      <c r="C13" s="3" t="inlineStr">
        <is>
          <t>명칭없음</t>
        </is>
      </c>
      <c r="D13" s="5" t="n">
        <v>72</v>
      </c>
      <c r="E13" s="5" t="n">
        <v>48</v>
      </c>
      <c r="F13" s="5" t="n">
        <v>40</v>
      </c>
      <c r="G13" s="5" t="n">
        <v>71</v>
      </c>
      <c r="H13" s="5" t="n">
        <v>47</v>
      </c>
      <c r="I13" s="5" t="n">
        <v>39</v>
      </c>
      <c r="J13" s="59" t="n">
        <v>2.2</v>
      </c>
      <c r="K13" s="5" t="n">
        <v>30</v>
      </c>
      <c r="L13" s="4" t="inlineStr">
        <is>
          <t>Y</t>
        </is>
      </c>
      <c r="M13" s="3" t="inlineStr">
        <is>
          <t>보유 박스 정보.xlsx</t>
        </is>
      </c>
      <c r="N13" s="5" t="n">
        <v>1</v>
      </c>
    </row>
  </sheetData>
  <mergeCells count="1">
    <mergeCell ref="A1:M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34" sqref="D34"/>
    </sheetView>
  </sheetViews>
  <sheetFormatPr baseColWidth="8" defaultRowHeight="15"/>
  <cols>
    <col width="14" customWidth="1" style="42" min="1" max="1"/>
    <col width="20" customWidth="1" style="42" min="2" max="2"/>
    <col width="14" customWidth="1" style="42" min="3" max="3"/>
    <col width="20" customWidth="1" style="42" min="4" max="4"/>
    <col width="12" customWidth="1" style="42" min="5" max="5"/>
    <col width="18" customWidth="1" style="42" min="6" max="6"/>
    <col width="10" customWidth="1" style="42" min="7" max="7"/>
    <col width="18" customWidth="1" style="42" min="8" max="8"/>
    <col width="14" customWidth="1" style="42" min="9" max="9"/>
    <col width="28" customWidth="1" style="42" min="10" max="10"/>
  </cols>
  <sheetData>
    <row r="1" ht="24" customHeight="1" s="42">
      <c r="A1" s="41" t="inlineStr">
        <is>
          <t>패키지 해체(BOM) 마스터 - 현재 원본 데이터 없음, 추후 확장용</t>
        </is>
      </c>
    </row>
    <row r="3" ht="32.1" customHeight="1" s="42">
      <c r="A3" s="43" t="inlineStr">
        <is>
          <t>패키지상품코드</t>
        </is>
      </c>
      <c r="B3" s="43" t="inlineStr">
        <is>
          <t>패키지국문상품명</t>
        </is>
      </c>
      <c r="C3" s="43" t="inlineStr">
        <is>
          <t>구성품상품코드</t>
        </is>
      </c>
      <c r="D3" s="43" t="inlineStr">
        <is>
          <t>구성품국문상품명</t>
        </is>
      </c>
      <c r="E3" s="43" t="inlineStr">
        <is>
          <t>구성품수량</t>
        </is>
      </c>
      <c r="F3" s="43" t="inlineStr">
        <is>
          <t>해체적용조건</t>
        </is>
      </c>
      <c r="G3" s="43" t="inlineStr">
        <is>
          <t>사용여부</t>
        </is>
      </c>
      <c r="H3" s="43" t="inlineStr">
        <is>
          <t>원본파일</t>
        </is>
      </c>
      <c r="I3" s="43" t="inlineStr">
        <is>
          <t>데이터검증상태</t>
        </is>
      </c>
      <c r="J3" s="43" t="inlineStr">
        <is>
          <t>검증메모</t>
        </is>
      </c>
    </row>
    <row r="4" ht="45" customHeight="1" s="42">
      <c r="A4" s="46" t="n"/>
      <c r="B4" s="3" t="n"/>
      <c r="C4" s="3" t="n"/>
      <c r="D4" s="3" t="n"/>
      <c r="E4" s="3" t="n"/>
      <c r="F4" s="3" t="n"/>
      <c r="G4" s="3" t="n"/>
      <c r="H4" s="3" t="n"/>
      <c r="I4" s="3" t="n"/>
      <c r="J4" s="46" t="inlineStr">
        <is>
          <t>현재 원본 파일에 BOM 데이터 없음. 해체 계산 필요 시 이 시트 보강 필요.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3"/>
  <sheetViews>
    <sheetView showGridLines="0" zoomScale="85" zoomScaleNormal="85" workbookViewId="0">
      <pane xSplit="3" ySplit="3" topLeftCell="D195" activePane="bottomRight" state="frozen"/>
      <selection pane="topRight" activeCell="D1" sqref="D1"/>
      <selection pane="bottomLeft" activeCell="A4" sqref="A4"/>
      <selection pane="bottomRight" activeCell="C86" sqref="C86"/>
    </sheetView>
  </sheetViews>
  <sheetFormatPr baseColWidth="8" defaultRowHeight="15"/>
  <cols>
    <col width="9.28515625" customWidth="1" style="42" min="1" max="1"/>
    <col width="29" customWidth="1" style="42" min="2" max="2"/>
    <col width="13.28515625" customWidth="1" style="42" min="3" max="3"/>
    <col width="15.42578125" customWidth="1" style="42" min="4" max="6"/>
    <col width="15" customWidth="1" style="42" min="7" max="7"/>
    <col width="9.28515625" customWidth="1" style="42" min="8" max="9"/>
    <col width="15.42578125" customWidth="1" style="42" min="10" max="10"/>
    <col width="16" customWidth="1" style="42" min="11" max="14"/>
    <col width="14" customWidth="1" style="42" min="15" max="15"/>
    <col width="18" customWidth="1" style="42" min="16" max="16"/>
    <col width="16" customWidth="1" style="42" min="17" max="17"/>
    <col width="40" customWidth="1" style="42" min="18" max="18"/>
    <col width="16" customWidth="1" style="42" min="19" max="19"/>
    <col width="18" customWidth="1" style="42" min="20" max="20"/>
    <col width="16" customWidth="1" style="42" min="21" max="22"/>
  </cols>
  <sheetData>
    <row r="1" ht="24" customHeight="1" s="42">
      <c r="A1" s="41" t="inlineStr">
        <is>
          <t>완박스 정보.xlsx 기준 정규화</t>
        </is>
      </c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</row>
    <row r="2">
      <c r="S2" s="1" t="n"/>
      <c r="T2" s="1" t="n"/>
      <c r="U2" s="1" t="n"/>
      <c r="V2" s="1" t="n"/>
    </row>
    <row r="3" ht="32.1" customHeight="1" s="42">
      <c r="A3" s="21" t="inlineStr">
        <is>
          <t>상품코드</t>
        </is>
      </c>
      <c r="B3" s="21" t="inlineStr">
        <is>
          <t>국문상품명</t>
        </is>
      </c>
      <c r="C3" s="21" t="inlineStr">
        <is>
          <t>완박스입수량</t>
        </is>
      </c>
      <c r="D3" s="21" t="inlineStr">
        <is>
          <t>완박스가로(cm)</t>
        </is>
      </c>
      <c r="E3" s="21" t="inlineStr">
        <is>
          <t>완박스세로(cm)</t>
        </is>
      </c>
      <c r="F3" s="21" t="inlineStr">
        <is>
          <t>완박스높이(cm)</t>
        </is>
      </c>
      <c r="G3" s="21" t="inlineStr">
        <is>
          <t>완박스중량(kg)</t>
        </is>
      </c>
      <c r="H3" s="21" t="inlineStr">
        <is>
          <t>우선순위</t>
        </is>
      </c>
      <c r="I3" s="21" t="inlineStr">
        <is>
          <t>사용여부</t>
        </is>
      </c>
      <c r="J3" s="21" t="inlineStr">
        <is>
          <t>원본파일</t>
        </is>
      </c>
      <c r="K3" s="21" t="inlineStr">
        <is>
          <t>완박스카톤코드</t>
        </is>
      </c>
      <c r="L3" s="21" t="inlineStr">
        <is>
          <t>엔진해석정책</t>
        </is>
      </c>
      <c r="M3" s="21" t="inlineStr">
        <is>
          <t>출고단위구분</t>
        </is>
      </c>
      <c r="N3" s="21" t="inlineStr">
        <is>
          <t>표준박스매핑여부</t>
        </is>
      </c>
      <c r="O3" s="21" t="inlineStr">
        <is>
          <t>표준박스코드</t>
        </is>
      </c>
      <c r="P3" s="21" t="inlineStr">
        <is>
          <t>잔량처리방식</t>
        </is>
      </c>
      <c r="Q3" s="21" t="inlineStr">
        <is>
          <t>데이터검증상태</t>
        </is>
      </c>
      <c r="R3" s="21" t="inlineStr">
        <is>
          <t>검증메모</t>
        </is>
      </c>
      <c r="S3" s="21" t="inlineStr">
        <is>
          <t>완박스박스코드</t>
        </is>
      </c>
      <c r="T3" s="21" t="inlineStr">
        <is>
          <t>완박스박스명</t>
        </is>
      </c>
      <c r="U3" s="21" t="inlineStr">
        <is>
          <t>혼합완박스허용여부</t>
        </is>
      </c>
      <c r="V3" s="21" t="inlineStr">
        <is>
          <t>완박스혼합그룹</t>
        </is>
      </c>
    </row>
    <row r="4">
      <c r="A4" s="22" t="inlineStr">
        <is>
          <t>B200204</t>
        </is>
      </c>
      <c r="B4" s="22" t="inlineStr">
        <is>
          <t>뉴라미스 딥 노리도</t>
        </is>
      </c>
      <c r="C4" s="23" t="n">
        <v>100</v>
      </c>
      <c r="D4" s="24" t="n">
        <v>37</v>
      </c>
      <c r="E4" s="24" t="n">
        <v>37</v>
      </c>
      <c r="F4" s="24" t="n">
        <v>32</v>
      </c>
      <c r="G4" s="60" t="n">
        <v>4.7</v>
      </c>
      <c r="H4" s="24" t="n">
        <v>1</v>
      </c>
      <c r="I4" s="25" t="inlineStr">
        <is>
          <t>Y</t>
        </is>
      </c>
      <c r="J4" s="26" t="inlineStr">
        <is>
          <t>완박스 정보.xlsx</t>
        </is>
      </c>
      <c r="K4" s="26" t="inlineStr">
        <is>
          <t>FBX005</t>
        </is>
      </c>
      <c r="L4" s="26" t="inlineStr">
        <is>
          <t>OWN_CARTON</t>
        </is>
      </c>
      <c r="M4" s="26" t="inlineStr">
        <is>
          <t>FULLBOX_CARTON</t>
        </is>
      </c>
      <c r="N4" s="25" t="inlineStr">
        <is>
          <t>N</t>
        </is>
      </c>
      <c r="O4" s="26" t="n"/>
      <c r="P4" s="26" t="inlineStr">
        <is>
          <t>REMAINDER_TO_REPACK</t>
        </is>
      </c>
      <c r="Q4" s="25" t="inlineStr">
        <is>
          <t>OK</t>
        </is>
      </c>
      <c r="R4" s="26" t="inlineStr">
        <is>
          <t>완박스를 표준박스로 매핑하지 않고 자체 출고 카톤으로 사용</t>
        </is>
      </c>
      <c r="S4" s="27" t="inlineStr">
        <is>
          <t>FBX005</t>
        </is>
      </c>
      <c r="T4" s="27" t="inlineStr">
        <is>
          <t>완박스 37x37x32</t>
        </is>
      </c>
      <c r="U4" s="27" t="inlineStr">
        <is>
          <t>Y</t>
        </is>
      </c>
      <c r="V4" s="27" t="inlineStr">
        <is>
          <t>FBG005</t>
        </is>
      </c>
    </row>
    <row r="5">
      <c r="A5" s="22" t="inlineStr">
        <is>
          <t>B200240</t>
        </is>
      </c>
      <c r="B5" s="22" t="inlineStr">
        <is>
          <t>뉴라미스 딥 노리도 (수출용)</t>
        </is>
      </c>
      <c r="C5" s="23" t="n">
        <v>100</v>
      </c>
      <c r="D5" s="24" t="n">
        <v>37</v>
      </c>
      <c r="E5" s="24" t="n">
        <v>37</v>
      </c>
      <c r="F5" s="24" t="n">
        <v>32</v>
      </c>
      <c r="G5" s="60" t="n">
        <v>4.7</v>
      </c>
      <c r="H5" s="24" t="n">
        <v>1</v>
      </c>
      <c r="I5" s="25" t="inlineStr">
        <is>
          <t>Y</t>
        </is>
      </c>
      <c r="J5" s="26" t="inlineStr">
        <is>
          <t>완박스 정보.xlsx</t>
        </is>
      </c>
      <c r="K5" s="26" t="inlineStr">
        <is>
          <t>FBX005</t>
        </is>
      </c>
      <c r="L5" s="26" t="inlineStr">
        <is>
          <t>OWN_CARTON</t>
        </is>
      </c>
      <c r="M5" s="26" t="inlineStr">
        <is>
          <t>FULLBOX_CARTON</t>
        </is>
      </c>
      <c r="N5" s="25" t="inlineStr">
        <is>
          <t>N</t>
        </is>
      </c>
      <c r="O5" s="26" t="n"/>
      <c r="P5" s="26" t="inlineStr">
        <is>
          <t>REMAINDER_TO_REPACK</t>
        </is>
      </c>
      <c r="Q5" s="25" t="inlineStr">
        <is>
          <t>OK</t>
        </is>
      </c>
      <c r="R5" s="26" t="inlineStr">
        <is>
          <t>완박스를 표준박스로 매핑하지 않고 자체 출고 카톤으로 사용</t>
        </is>
      </c>
      <c r="S5" s="27" t="inlineStr">
        <is>
          <t>FBX005</t>
        </is>
      </c>
      <c r="T5" s="27" t="inlineStr">
        <is>
          <t>완박스 37x37x32</t>
        </is>
      </c>
      <c r="U5" s="27" t="inlineStr">
        <is>
          <t>Y</t>
        </is>
      </c>
      <c r="V5" s="27" t="inlineStr">
        <is>
          <t>FBG005</t>
        </is>
      </c>
    </row>
    <row r="6">
      <c r="A6" s="22" t="inlineStr">
        <is>
          <t>B200201</t>
        </is>
      </c>
      <c r="B6" s="22" t="inlineStr">
        <is>
          <t>뉴라미스 딥 리도</t>
        </is>
      </c>
      <c r="C6" s="23" t="n">
        <v>100</v>
      </c>
      <c r="D6" s="24" t="n">
        <v>38</v>
      </c>
      <c r="E6" s="24" t="n">
        <v>37</v>
      </c>
      <c r="F6" s="60" t="n">
        <v>25.5</v>
      </c>
      <c r="G6" s="60" t="n">
        <v>4.5</v>
      </c>
      <c r="H6" s="24" t="n">
        <v>1</v>
      </c>
      <c r="I6" s="25" t="inlineStr">
        <is>
          <t>Y</t>
        </is>
      </c>
      <c r="J6" s="26" t="inlineStr">
        <is>
          <t>완박스 정보.xlsx</t>
        </is>
      </c>
      <c r="K6" s="26" t="inlineStr">
        <is>
          <t>FBX006</t>
        </is>
      </c>
      <c r="L6" s="26" t="inlineStr">
        <is>
          <t>OWN_CARTON</t>
        </is>
      </c>
      <c r="M6" s="26" t="inlineStr">
        <is>
          <t>FULLBOX_CARTON</t>
        </is>
      </c>
      <c r="N6" s="25" t="inlineStr">
        <is>
          <t>N</t>
        </is>
      </c>
      <c r="O6" s="26" t="n"/>
      <c r="P6" s="26" t="inlineStr">
        <is>
          <t>REMAINDER_TO_REPACK</t>
        </is>
      </c>
      <c r="Q6" s="25" t="inlineStr">
        <is>
          <t>OK</t>
        </is>
      </c>
      <c r="R6" s="26" t="inlineStr">
        <is>
          <t>완박스를 표준박스로 매핑하지 않고 자체 출고 카톤으로 사용</t>
        </is>
      </c>
      <c r="S6" s="27" t="inlineStr">
        <is>
          <t>FBX006</t>
        </is>
      </c>
      <c r="T6" s="27" t="inlineStr">
        <is>
          <t>완박스 38x37x25.5</t>
        </is>
      </c>
      <c r="U6" s="27" t="inlineStr">
        <is>
          <t>Y</t>
        </is>
      </c>
      <c r="V6" s="27" t="inlineStr">
        <is>
          <t>FBG006</t>
        </is>
      </c>
    </row>
    <row r="7">
      <c r="A7" s="22" t="inlineStr">
        <is>
          <t>B200220</t>
        </is>
      </c>
      <c r="B7" s="22" t="inlineStr">
        <is>
          <t>뉴라미스 딥 리도(수출용)</t>
        </is>
      </c>
      <c r="C7" s="23" t="n">
        <v>100</v>
      </c>
      <c r="D7" s="24" t="n">
        <v>38</v>
      </c>
      <c r="E7" s="24" t="n">
        <v>37</v>
      </c>
      <c r="F7" s="60" t="n">
        <v>25.5</v>
      </c>
      <c r="G7" s="60" t="n">
        <v>4.5</v>
      </c>
      <c r="H7" s="24" t="n">
        <v>1</v>
      </c>
      <c r="I7" s="25" t="inlineStr">
        <is>
          <t>Y</t>
        </is>
      </c>
      <c r="J7" s="26" t="inlineStr">
        <is>
          <t>완박스 정보.xlsx</t>
        </is>
      </c>
      <c r="K7" s="26" t="inlineStr">
        <is>
          <t>FBX006</t>
        </is>
      </c>
      <c r="L7" s="26" t="inlineStr">
        <is>
          <t>OWN_CARTON</t>
        </is>
      </c>
      <c r="M7" s="26" t="inlineStr">
        <is>
          <t>FULLBOX_CARTON</t>
        </is>
      </c>
      <c r="N7" s="25" t="inlineStr">
        <is>
          <t>N</t>
        </is>
      </c>
      <c r="O7" s="26" t="n"/>
      <c r="P7" s="26" t="inlineStr">
        <is>
          <t>REMAINDER_TO_REPACK</t>
        </is>
      </c>
      <c r="Q7" s="25" t="inlineStr">
        <is>
          <t>OK</t>
        </is>
      </c>
      <c r="R7" s="26" t="inlineStr">
        <is>
          <t>완박스를 표준박스로 매핑하지 않고 자체 출고 카톤으로 사용</t>
        </is>
      </c>
      <c r="S7" s="27" t="inlineStr">
        <is>
          <t>FBX006</t>
        </is>
      </c>
      <c r="T7" s="27" t="inlineStr">
        <is>
          <t>완박스 38x37x25.5</t>
        </is>
      </c>
      <c r="U7" s="27" t="inlineStr">
        <is>
          <t>Y</t>
        </is>
      </c>
      <c r="V7" s="27" t="inlineStr">
        <is>
          <t>FBG006</t>
        </is>
      </c>
    </row>
    <row r="8">
      <c r="A8" s="22" t="inlineStr">
        <is>
          <t>B200203</t>
        </is>
      </c>
      <c r="B8" s="22" t="inlineStr">
        <is>
          <t>뉴라미스 라이트 리도</t>
        </is>
      </c>
      <c r="C8" s="23" t="n">
        <v>100</v>
      </c>
      <c r="D8" s="24" t="n">
        <v>37</v>
      </c>
      <c r="E8" s="24" t="n">
        <v>37</v>
      </c>
      <c r="F8" s="24" t="n">
        <v>32</v>
      </c>
      <c r="G8" s="60" t="n">
        <v>4.7</v>
      </c>
      <c r="H8" s="24" t="n">
        <v>1</v>
      </c>
      <c r="I8" s="25" t="inlineStr">
        <is>
          <t>Y</t>
        </is>
      </c>
      <c r="J8" s="26" t="inlineStr">
        <is>
          <t>완박스 정보.xlsx</t>
        </is>
      </c>
      <c r="K8" s="26" t="inlineStr">
        <is>
          <t>FBX005</t>
        </is>
      </c>
      <c r="L8" s="26" t="inlineStr">
        <is>
          <t>OWN_CARTON</t>
        </is>
      </c>
      <c r="M8" s="26" t="inlineStr">
        <is>
          <t>FULLBOX_CARTON</t>
        </is>
      </c>
      <c r="N8" s="25" t="inlineStr">
        <is>
          <t>N</t>
        </is>
      </c>
      <c r="O8" s="26" t="n"/>
      <c r="P8" s="26" t="inlineStr">
        <is>
          <t>REMAINDER_TO_REPACK</t>
        </is>
      </c>
      <c r="Q8" s="25" t="inlineStr">
        <is>
          <t>OK</t>
        </is>
      </c>
      <c r="R8" s="26" t="inlineStr">
        <is>
          <t>완박스를 표준박스로 매핑하지 않고 자체 출고 카톤으로 사용</t>
        </is>
      </c>
      <c r="S8" s="27" t="inlineStr">
        <is>
          <t>FBX005</t>
        </is>
      </c>
      <c r="T8" s="27" t="inlineStr">
        <is>
          <t>완박스 37x37x32</t>
        </is>
      </c>
      <c r="U8" s="27" t="inlineStr">
        <is>
          <t>Y</t>
        </is>
      </c>
      <c r="V8" s="27" t="inlineStr">
        <is>
          <t>FBG005</t>
        </is>
      </c>
    </row>
    <row r="9">
      <c r="A9" s="22" t="inlineStr">
        <is>
          <t>B200234</t>
        </is>
      </c>
      <c r="B9" s="22" t="inlineStr">
        <is>
          <t>뉴라미스 라이트 리도(수출용)</t>
        </is>
      </c>
      <c r="C9" s="23" t="n">
        <v>100</v>
      </c>
      <c r="D9" s="24" t="n">
        <v>37</v>
      </c>
      <c r="E9" s="24" t="n">
        <v>37</v>
      </c>
      <c r="F9" s="24" t="n">
        <v>32</v>
      </c>
      <c r="G9" s="60" t="n">
        <v>4.7</v>
      </c>
      <c r="H9" s="24" t="n">
        <v>1</v>
      </c>
      <c r="I9" s="25" t="inlineStr">
        <is>
          <t>Y</t>
        </is>
      </c>
      <c r="J9" s="26" t="inlineStr">
        <is>
          <t>완박스 정보.xlsx</t>
        </is>
      </c>
      <c r="K9" s="26" t="inlineStr">
        <is>
          <t>FBX005</t>
        </is>
      </c>
      <c r="L9" s="26" t="inlineStr">
        <is>
          <t>OWN_CARTON</t>
        </is>
      </c>
      <c r="M9" s="26" t="inlineStr">
        <is>
          <t>FULLBOX_CARTON</t>
        </is>
      </c>
      <c r="N9" s="25" t="inlineStr">
        <is>
          <t>N</t>
        </is>
      </c>
      <c r="O9" s="26" t="n"/>
      <c r="P9" s="26" t="inlineStr">
        <is>
          <t>REMAINDER_TO_REPACK</t>
        </is>
      </c>
      <c r="Q9" s="25" t="inlineStr">
        <is>
          <t>OK</t>
        </is>
      </c>
      <c r="R9" s="26" t="inlineStr">
        <is>
          <t>완박스를 표준박스로 매핑하지 않고 자체 출고 카톤으로 사용</t>
        </is>
      </c>
      <c r="S9" s="27" t="inlineStr">
        <is>
          <t>FBX005</t>
        </is>
      </c>
      <c r="T9" s="27" t="inlineStr">
        <is>
          <t>완박스 37x37x32</t>
        </is>
      </c>
      <c r="U9" s="27" t="inlineStr">
        <is>
          <t>Y</t>
        </is>
      </c>
      <c r="V9" s="27" t="inlineStr">
        <is>
          <t>FBG005</t>
        </is>
      </c>
    </row>
    <row r="10" ht="30" customHeight="1" s="42">
      <c r="A10" s="22" t="inlineStr">
        <is>
          <t>B200202</t>
        </is>
      </c>
      <c r="B10" s="22" t="inlineStr">
        <is>
          <t>뉴라미스 리도(실버)</t>
        </is>
      </c>
      <c r="C10" s="23" t="n">
        <v>100</v>
      </c>
      <c r="D10" s="24" t="n">
        <v>38</v>
      </c>
      <c r="E10" s="24" t="n">
        <v>37</v>
      </c>
      <c r="F10" s="60" t="n">
        <v>25.5</v>
      </c>
      <c r="G10" s="60" t="n">
        <v>4.5</v>
      </c>
      <c r="H10" s="24" t="n">
        <v>1</v>
      </c>
      <c r="I10" s="25" t="inlineStr">
        <is>
          <t>Y</t>
        </is>
      </c>
      <c r="J10" s="26" t="inlineStr">
        <is>
          <t>완박스 정보.xlsx</t>
        </is>
      </c>
      <c r="K10" s="26" t="inlineStr">
        <is>
          <t>FBX006</t>
        </is>
      </c>
      <c r="L10" s="26" t="inlineStr">
        <is>
          <t>OWN_CARTON</t>
        </is>
      </c>
      <c r="M10" s="26" t="inlineStr">
        <is>
          <t>FULLBOX_CARTON</t>
        </is>
      </c>
      <c r="N10" s="25" t="inlineStr">
        <is>
          <t>N</t>
        </is>
      </c>
      <c r="O10" s="26" t="n"/>
      <c r="P10" s="26" t="inlineStr">
        <is>
          <t>REMAINDER_TO_REPACK</t>
        </is>
      </c>
      <c r="Q10" s="25" t="inlineStr">
        <is>
          <t>OK</t>
        </is>
      </c>
      <c r="R10" s="26" t="inlineStr">
        <is>
          <t>완박스를 표준박스로 매핑하지 않고 자체 출고 카톤으로 사용</t>
        </is>
      </c>
      <c r="S10" s="27" t="inlineStr">
        <is>
          <t>FBX006</t>
        </is>
      </c>
      <c r="T10" s="27" t="inlineStr">
        <is>
          <t>완박스 38x37x25.5</t>
        </is>
      </c>
      <c r="U10" s="27" t="inlineStr">
        <is>
          <t>Y</t>
        </is>
      </c>
      <c r="V10" s="27" t="inlineStr">
        <is>
          <t>FBG006</t>
        </is>
      </c>
    </row>
    <row r="11">
      <c r="A11" s="22" t="inlineStr">
        <is>
          <t>B200230</t>
        </is>
      </c>
      <c r="B11" s="22" t="inlineStr">
        <is>
          <t>뉴라미스 리도(실버)(수출용)</t>
        </is>
      </c>
      <c r="C11" s="23" t="n">
        <v>100</v>
      </c>
      <c r="D11" s="24" t="n">
        <v>38</v>
      </c>
      <c r="E11" s="24" t="n">
        <v>37</v>
      </c>
      <c r="F11" s="60" t="n">
        <v>25.5</v>
      </c>
      <c r="G11" s="60" t="n">
        <v>4.5</v>
      </c>
      <c r="H11" s="24" t="n">
        <v>1</v>
      </c>
      <c r="I11" s="25" t="inlineStr">
        <is>
          <t>Y</t>
        </is>
      </c>
      <c r="J11" s="26" t="inlineStr">
        <is>
          <t>완박스 정보.xlsx</t>
        </is>
      </c>
      <c r="K11" s="26" t="inlineStr">
        <is>
          <t>FBX006</t>
        </is>
      </c>
      <c r="L11" s="26" t="inlineStr">
        <is>
          <t>OWN_CARTON</t>
        </is>
      </c>
      <c r="M11" s="26" t="inlineStr">
        <is>
          <t>FULLBOX_CARTON</t>
        </is>
      </c>
      <c r="N11" s="25" t="inlineStr">
        <is>
          <t>N</t>
        </is>
      </c>
      <c r="O11" s="26" t="n"/>
      <c r="P11" s="26" t="inlineStr">
        <is>
          <t>REMAINDER_TO_REPACK</t>
        </is>
      </c>
      <c r="Q11" s="25" t="inlineStr">
        <is>
          <t>OK</t>
        </is>
      </c>
      <c r="R11" s="26" t="inlineStr">
        <is>
          <t>완박스를 표준박스로 매핑하지 않고 자체 출고 카톤으로 사용</t>
        </is>
      </c>
      <c r="S11" s="27" t="inlineStr">
        <is>
          <t>FBX006</t>
        </is>
      </c>
      <c r="T11" s="27" t="inlineStr">
        <is>
          <t>완박스 38x37x25.5</t>
        </is>
      </c>
      <c r="U11" s="27" t="inlineStr">
        <is>
          <t>Y</t>
        </is>
      </c>
      <c r="V11" s="27" t="inlineStr">
        <is>
          <t>FBG006</t>
        </is>
      </c>
    </row>
    <row r="12">
      <c r="A12" s="22" t="inlineStr">
        <is>
          <t>B200200</t>
        </is>
      </c>
      <c r="B12" s="22" t="inlineStr">
        <is>
          <t>뉴라미스 볼륨 리도</t>
        </is>
      </c>
      <c r="C12" s="23" t="n">
        <v>100</v>
      </c>
      <c r="D12" s="24" t="n">
        <v>38</v>
      </c>
      <c r="E12" s="24" t="n">
        <v>37</v>
      </c>
      <c r="F12" s="60" t="n">
        <v>25.5</v>
      </c>
      <c r="G12" s="60" t="n">
        <v>4.5</v>
      </c>
      <c r="H12" s="24" t="n">
        <v>1</v>
      </c>
      <c r="I12" s="25" t="inlineStr">
        <is>
          <t>Y</t>
        </is>
      </c>
      <c r="J12" s="26" t="inlineStr">
        <is>
          <t>완박스 정보.xlsx</t>
        </is>
      </c>
      <c r="K12" s="26" t="inlineStr">
        <is>
          <t>FBX006</t>
        </is>
      </c>
      <c r="L12" s="26" t="inlineStr">
        <is>
          <t>OWN_CARTON</t>
        </is>
      </c>
      <c r="M12" s="26" t="inlineStr">
        <is>
          <t>FULLBOX_CARTON</t>
        </is>
      </c>
      <c r="N12" s="25" t="inlineStr">
        <is>
          <t>N</t>
        </is>
      </c>
      <c r="O12" s="26" t="n"/>
      <c r="P12" s="26" t="inlineStr">
        <is>
          <t>REMAINDER_TO_REPACK</t>
        </is>
      </c>
      <c r="Q12" s="25" t="inlineStr">
        <is>
          <t>OK</t>
        </is>
      </c>
      <c r="R12" s="26" t="inlineStr">
        <is>
          <t>완박스를 표준박스로 매핑하지 않고 자체 출고 카톤으로 사용</t>
        </is>
      </c>
      <c r="S12" s="27" t="inlineStr">
        <is>
          <t>FBX006</t>
        </is>
      </c>
      <c r="T12" s="27" t="inlineStr">
        <is>
          <t>완박스 38x37x25.5</t>
        </is>
      </c>
      <c r="U12" s="27" t="inlineStr">
        <is>
          <t>Y</t>
        </is>
      </c>
      <c r="V12" s="27" t="inlineStr">
        <is>
          <t>FBG006</t>
        </is>
      </c>
    </row>
    <row r="13">
      <c r="A13" s="22" t="inlineStr">
        <is>
          <t>B200210</t>
        </is>
      </c>
      <c r="B13" s="22" t="inlineStr">
        <is>
          <t>뉴라미스 볼륨 리도(수출용)</t>
        </is>
      </c>
      <c r="C13" s="23" t="n">
        <v>100</v>
      </c>
      <c r="D13" s="24" t="n">
        <v>38</v>
      </c>
      <c r="E13" s="24" t="n">
        <v>37</v>
      </c>
      <c r="F13" s="60" t="n">
        <v>25.5</v>
      </c>
      <c r="G13" s="60" t="n">
        <v>4.5</v>
      </c>
      <c r="H13" s="24" t="n">
        <v>1</v>
      </c>
      <c r="I13" s="25" t="inlineStr">
        <is>
          <t>Y</t>
        </is>
      </c>
      <c r="J13" s="26" t="inlineStr">
        <is>
          <t>완박스 정보.xlsx</t>
        </is>
      </c>
      <c r="K13" s="26" t="inlineStr">
        <is>
          <t>FBX006</t>
        </is>
      </c>
      <c r="L13" s="26" t="inlineStr">
        <is>
          <t>OWN_CARTON</t>
        </is>
      </c>
      <c r="M13" s="26" t="inlineStr">
        <is>
          <t>FULLBOX_CARTON</t>
        </is>
      </c>
      <c r="N13" s="25" t="inlineStr">
        <is>
          <t>N</t>
        </is>
      </c>
      <c r="O13" s="26" t="n"/>
      <c r="P13" s="26" t="inlineStr">
        <is>
          <t>REMAINDER_TO_REPACK</t>
        </is>
      </c>
      <c r="Q13" s="25" t="inlineStr">
        <is>
          <t>OK</t>
        </is>
      </c>
      <c r="R13" s="26" t="inlineStr">
        <is>
          <t>완박스를 표준박스로 매핑하지 않고 자체 출고 카톤으로 사용</t>
        </is>
      </c>
      <c r="S13" s="27" t="inlineStr">
        <is>
          <t>FBX006</t>
        </is>
      </c>
      <c r="T13" s="27" t="inlineStr">
        <is>
          <t>완박스 38x37x25.5</t>
        </is>
      </c>
      <c r="U13" s="27" t="inlineStr">
        <is>
          <t>Y</t>
        </is>
      </c>
      <c r="V13" s="27" t="inlineStr">
        <is>
          <t>FBG006</t>
        </is>
      </c>
    </row>
    <row r="14">
      <c r="A14" s="26" t="inlineStr">
        <is>
          <t>B300820</t>
        </is>
      </c>
      <c r="B14" s="26" t="inlineStr">
        <is>
          <t>닥터 리포 플러스</t>
        </is>
      </c>
      <c r="C14" s="24" t="n">
        <v>60</v>
      </c>
      <c r="D14" s="24" t="n">
        <v>53</v>
      </c>
      <c r="E14" s="24" t="n">
        <v>37</v>
      </c>
      <c r="F14" s="24" t="n">
        <v>34</v>
      </c>
      <c r="G14" s="60" t="n">
        <v>23.4</v>
      </c>
      <c r="H14" s="24" t="n">
        <v>1</v>
      </c>
      <c r="I14" s="25" t="inlineStr">
        <is>
          <t>Y</t>
        </is>
      </c>
      <c r="J14" s="26" t="inlineStr">
        <is>
          <t>완박스 정보.xlsx</t>
        </is>
      </c>
      <c r="K14" s="26" t="inlineStr">
        <is>
          <t>FBX067</t>
        </is>
      </c>
      <c r="L14" s="26" t="inlineStr">
        <is>
          <t>OWN_CARTON</t>
        </is>
      </c>
      <c r="M14" s="26" t="inlineStr">
        <is>
          <t>FULLBOX_CARTON</t>
        </is>
      </c>
      <c r="N14" s="25" t="inlineStr">
        <is>
          <t>N</t>
        </is>
      </c>
      <c r="O14" s="26" t="n"/>
      <c r="P14" s="26" t="inlineStr">
        <is>
          <t>REMAINDER_TO_REPACK</t>
        </is>
      </c>
      <c r="Q14" s="25" t="inlineStr">
        <is>
          <t>OK</t>
        </is>
      </c>
      <c r="R14" s="26" t="inlineStr">
        <is>
          <t>완박스를 표준박스로 매핑하지 않고 자체 출고 카톤으로 사용</t>
        </is>
      </c>
      <c r="S14" s="27" t="inlineStr">
        <is>
          <t>FBX067</t>
        </is>
      </c>
      <c r="T14" s="27" t="inlineStr">
        <is>
          <t>완박스 53x37x34</t>
        </is>
      </c>
      <c r="U14" s="27" t="inlineStr">
        <is>
          <t>Y</t>
        </is>
      </c>
      <c r="V14" s="27" t="inlineStr">
        <is>
          <t>FBG091</t>
        </is>
      </c>
    </row>
    <row r="15">
      <c r="A15" s="26" t="inlineStr">
        <is>
          <t>B200620</t>
        </is>
      </c>
      <c r="B15" s="26" t="inlineStr">
        <is>
          <t>더마렉스 딥 플러스</t>
        </is>
      </c>
      <c r="C15" s="24" t="n">
        <v>200</v>
      </c>
      <c r="D15" s="24" t="n">
        <v>60</v>
      </c>
      <c r="E15" s="24" t="n">
        <v>42</v>
      </c>
      <c r="F15" s="24" t="n">
        <v>42</v>
      </c>
      <c r="G15" s="60" t="n">
        <v>10.5</v>
      </c>
      <c r="H15" s="24" t="n">
        <v>1</v>
      </c>
      <c r="I15" s="25" t="inlineStr">
        <is>
          <t>Y</t>
        </is>
      </c>
      <c r="J15" s="26" t="inlineStr">
        <is>
          <t>완박스 정보.xlsx</t>
        </is>
      </c>
      <c r="K15" s="26" t="inlineStr">
        <is>
          <t>FBX088</t>
        </is>
      </c>
      <c r="L15" s="26" t="inlineStr">
        <is>
          <t>OWN_CARTON</t>
        </is>
      </c>
      <c r="M15" s="26" t="inlineStr">
        <is>
          <t>FULLBOX_CARTON</t>
        </is>
      </c>
      <c r="N15" s="25" t="inlineStr">
        <is>
          <t>N</t>
        </is>
      </c>
      <c r="O15" s="26" t="n"/>
      <c r="P15" s="26" t="inlineStr">
        <is>
          <t>REMAINDER_TO_REPACK</t>
        </is>
      </c>
      <c r="Q15" s="25" t="inlineStr">
        <is>
          <t>OK</t>
        </is>
      </c>
      <c r="R15" s="26" t="inlineStr">
        <is>
          <t>완박스를 표준박스로 매핑하지 않고 자체 출고 카톤으로 사용</t>
        </is>
      </c>
      <c r="S15" s="27" t="inlineStr">
        <is>
          <t>FBX088</t>
        </is>
      </c>
      <c r="T15" s="27" t="inlineStr">
        <is>
          <t>완박스 60x42x42</t>
        </is>
      </c>
      <c r="U15" s="27" t="inlineStr">
        <is>
          <t>Y</t>
        </is>
      </c>
      <c r="V15" s="27" t="inlineStr">
        <is>
          <t>FBG048</t>
        </is>
      </c>
    </row>
    <row r="16">
      <c r="A16" s="26" t="inlineStr">
        <is>
          <t>B200610</t>
        </is>
      </c>
      <c r="B16" s="26" t="inlineStr">
        <is>
          <t>더마렉스 임플란트</t>
        </is>
      </c>
      <c r="C16" s="24" t="n">
        <v>100</v>
      </c>
      <c r="D16" s="24" t="n">
        <v>56</v>
      </c>
      <c r="E16" s="24" t="n">
        <v>42</v>
      </c>
      <c r="F16" s="24" t="n">
        <v>41</v>
      </c>
      <c r="G16" s="60" t="n">
        <v>9.050000000000001</v>
      </c>
      <c r="H16" s="24" t="n">
        <v>1</v>
      </c>
      <c r="I16" s="25" t="inlineStr">
        <is>
          <t>Y</t>
        </is>
      </c>
      <c r="J16" s="26" t="inlineStr">
        <is>
          <t>완박스 정보.xlsx</t>
        </is>
      </c>
      <c r="K16" s="26" t="inlineStr">
        <is>
          <t>FBX075</t>
        </is>
      </c>
      <c r="L16" s="26" t="inlineStr">
        <is>
          <t>OWN_CARTON</t>
        </is>
      </c>
      <c r="M16" s="26" t="inlineStr">
        <is>
          <t>FULLBOX_CARTON</t>
        </is>
      </c>
      <c r="N16" s="25" t="inlineStr">
        <is>
          <t>N</t>
        </is>
      </c>
      <c r="O16" s="26" t="n"/>
      <c r="P16" s="26" t="inlineStr">
        <is>
          <t>REMAINDER_TO_REPACK</t>
        </is>
      </c>
      <c r="Q16" s="25" t="inlineStr">
        <is>
          <t>OK</t>
        </is>
      </c>
      <c r="R16" s="26" t="inlineStr">
        <is>
          <t>완박스를 표준박스로 매핑하지 않고 자체 출고 카톤으로 사용</t>
        </is>
      </c>
      <c r="S16" s="27" t="inlineStr">
        <is>
          <t>FBX075</t>
        </is>
      </c>
      <c r="T16" s="27" t="inlineStr">
        <is>
          <t>완박스 56x42x41</t>
        </is>
      </c>
      <c r="U16" s="27" t="inlineStr">
        <is>
          <t>Y</t>
        </is>
      </c>
      <c r="V16" s="27" t="inlineStr">
        <is>
          <t>FBG032</t>
        </is>
      </c>
    </row>
    <row r="17" ht="30" customHeight="1" s="42">
      <c r="A17" s="26" t="inlineStr">
        <is>
          <t>B200630</t>
        </is>
      </c>
      <c r="B17" s="26" t="inlineStr">
        <is>
          <t>더마렉스 플러스</t>
        </is>
      </c>
      <c r="C17" s="24" t="n">
        <v>200</v>
      </c>
      <c r="D17" s="24" t="n">
        <v>60</v>
      </c>
      <c r="E17" s="24" t="n">
        <v>42</v>
      </c>
      <c r="F17" s="24" t="n">
        <v>42</v>
      </c>
      <c r="G17" s="60" t="n">
        <v>10.34</v>
      </c>
      <c r="H17" s="24" t="n">
        <v>1</v>
      </c>
      <c r="I17" s="25" t="inlineStr">
        <is>
          <t>Y</t>
        </is>
      </c>
      <c r="J17" s="26" t="inlineStr">
        <is>
          <t>완박스 정보.xlsx</t>
        </is>
      </c>
      <c r="K17" s="26" t="inlineStr">
        <is>
          <t>FBX087</t>
        </is>
      </c>
      <c r="L17" s="26" t="inlineStr">
        <is>
          <t>OWN_CARTON</t>
        </is>
      </c>
      <c r="M17" s="26" t="inlineStr">
        <is>
          <t>FULLBOX_CARTON</t>
        </is>
      </c>
      <c r="N17" s="25" t="inlineStr">
        <is>
          <t>N</t>
        </is>
      </c>
      <c r="O17" s="26" t="n"/>
      <c r="P17" s="26" t="inlineStr">
        <is>
          <t>REMAINDER_TO_REPACK</t>
        </is>
      </c>
      <c r="Q17" s="25" t="inlineStr">
        <is>
          <t>OK</t>
        </is>
      </c>
      <c r="R17" s="26" t="inlineStr">
        <is>
          <t>완박스를 표준박스로 매핑하지 않고 자체 출고 카톤으로 사용</t>
        </is>
      </c>
      <c r="S17" s="27" t="inlineStr">
        <is>
          <t>FBX087</t>
        </is>
      </c>
      <c r="T17" s="27" t="inlineStr">
        <is>
          <t>완박스 60x42x42</t>
        </is>
      </c>
      <c r="U17" s="27" t="inlineStr">
        <is>
          <t>Y</t>
        </is>
      </c>
      <c r="V17" s="27" t="inlineStr">
        <is>
          <t>FBG048</t>
        </is>
      </c>
    </row>
    <row r="18">
      <c r="A18" s="22" t="inlineStr">
        <is>
          <t>B301220</t>
        </is>
      </c>
      <c r="B18" s="22" t="inlineStr">
        <is>
          <t>데네브 클래식 에스 노리도</t>
        </is>
      </c>
      <c r="C18" s="23" t="n">
        <v>30</v>
      </c>
      <c r="D18" s="23" t="n">
        <v>39</v>
      </c>
      <c r="E18" s="23" t="n">
        <v>25.5</v>
      </c>
      <c r="F18" s="23" t="n">
        <v>22</v>
      </c>
      <c r="G18" s="23" t="n">
        <v>2.56</v>
      </c>
      <c r="H18" s="24" t="n">
        <v>1</v>
      </c>
      <c r="I18" s="25" t="inlineStr">
        <is>
          <t>Y</t>
        </is>
      </c>
      <c r="J18" s="26" t="inlineStr">
        <is>
          <t>완박스 정보.xlsx</t>
        </is>
      </c>
      <c r="K18" s="26" t="inlineStr">
        <is>
          <t>FBX007</t>
        </is>
      </c>
      <c r="L18" s="26" t="inlineStr">
        <is>
          <t>OWN_CARTON</t>
        </is>
      </c>
      <c r="M18" s="26" t="inlineStr">
        <is>
          <t>FULLBOX_CARTON</t>
        </is>
      </c>
      <c r="N18" s="25" t="inlineStr">
        <is>
          <t>N</t>
        </is>
      </c>
      <c r="O18" s="26" t="n"/>
      <c r="P18" s="26" t="inlineStr">
        <is>
          <t>REMAINDER_TO_REPACK</t>
        </is>
      </c>
      <c r="Q18" s="25" t="inlineStr">
        <is>
          <t>OK</t>
        </is>
      </c>
      <c r="R18" s="26" t="inlineStr">
        <is>
          <t>완박스를 표준박스로 매핑하지 않고 자체 출고 카톤으로 사용</t>
        </is>
      </c>
      <c r="S18" s="27" t="inlineStr">
        <is>
          <t>FBX007</t>
        </is>
      </c>
      <c r="T18" s="27" t="inlineStr">
        <is>
          <t>완박스 39x25x22</t>
        </is>
      </c>
      <c r="U18" s="27" t="inlineStr">
        <is>
          <t>Y</t>
        </is>
      </c>
      <c r="V18" s="27" t="inlineStr">
        <is>
          <t>FBG053</t>
        </is>
      </c>
    </row>
    <row r="19" ht="30" customHeight="1" s="42">
      <c r="A19" s="22" t="inlineStr">
        <is>
          <t>B301120</t>
        </is>
      </c>
      <c r="B19" s="22" t="inlineStr">
        <is>
          <t>데네브 클래식 에스 리도</t>
        </is>
      </c>
      <c r="C19" s="23" t="n">
        <v>100</v>
      </c>
      <c r="D19" s="23" t="n">
        <v>48.5</v>
      </c>
      <c r="E19" s="23" t="n">
        <v>40.5</v>
      </c>
      <c r="F19" s="23" t="n">
        <v>38</v>
      </c>
      <c r="G19" s="23" t="n">
        <v>8.119999999999999</v>
      </c>
      <c r="H19" s="24" t="n">
        <v>1</v>
      </c>
      <c r="I19" s="25" t="inlineStr">
        <is>
          <t>Y</t>
        </is>
      </c>
      <c r="J19" s="26" t="inlineStr">
        <is>
          <t>완박스 정보.xlsx</t>
        </is>
      </c>
      <c r="K19" s="26" t="inlineStr">
        <is>
          <t>FBX056</t>
        </is>
      </c>
      <c r="L19" s="26" t="inlineStr">
        <is>
          <t>OWN_CARTON</t>
        </is>
      </c>
      <c r="M19" s="26" t="inlineStr">
        <is>
          <t>FULLBOX_CARTON</t>
        </is>
      </c>
      <c r="N19" s="25" t="inlineStr">
        <is>
          <t>N</t>
        </is>
      </c>
      <c r="O19" s="26" t="n"/>
      <c r="P19" s="26" t="inlineStr">
        <is>
          <t>REMAINDER_TO_REPACK</t>
        </is>
      </c>
      <c r="Q19" s="25" t="inlineStr">
        <is>
          <t>OK</t>
        </is>
      </c>
      <c r="R19" s="26" t="inlineStr">
        <is>
          <t>완박스를 표준박스로 매핑하지 않고 자체 출고 카톤으로 사용</t>
        </is>
      </c>
      <c r="S19" s="27" t="inlineStr">
        <is>
          <t>FBX056</t>
        </is>
      </c>
      <c r="T19" s="27" t="inlineStr">
        <is>
          <t>완박스 48x40x38</t>
        </is>
      </c>
      <c r="U19" s="27" t="inlineStr">
        <is>
          <t>Y</t>
        </is>
      </c>
      <c r="V19" s="27" t="inlineStr">
        <is>
          <t>FBG026</t>
        </is>
      </c>
    </row>
    <row r="20" ht="30" customHeight="1" s="42">
      <c r="A20" s="22" t="inlineStr">
        <is>
          <t>B301210</t>
        </is>
      </c>
      <c r="B20" s="22" t="inlineStr">
        <is>
          <t>데네브 클래식 에이치 노리도</t>
        </is>
      </c>
      <c r="C20" s="23" t="n">
        <v>30</v>
      </c>
      <c r="D20" s="23" t="n">
        <v>39</v>
      </c>
      <c r="E20" s="23" t="n">
        <v>25.5</v>
      </c>
      <c r="F20" s="23" t="n">
        <v>22</v>
      </c>
      <c r="G20" s="23" t="n">
        <v>2.56</v>
      </c>
      <c r="H20" s="24" t="n">
        <v>1</v>
      </c>
      <c r="I20" s="25" t="inlineStr">
        <is>
          <t>Y</t>
        </is>
      </c>
      <c r="J20" s="26" t="inlineStr">
        <is>
          <t>완박스 정보.xlsx</t>
        </is>
      </c>
      <c r="K20" s="26" t="inlineStr">
        <is>
          <t>FBX007</t>
        </is>
      </c>
      <c r="L20" s="26" t="inlineStr">
        <is>
          <t>OWN_CARTON</t>
        </is>
      </c>
      <c r="M20" s="26" t="inlineStr">
        <is>
          <t>FULLBOX_CARTON</t>
        </is>
      </c>
      <c r="N20" s="25" t="inlineStr">
        <is>
          <t>N</t>
        </is>
      </c>
      <c r="O20" s="26" t="n"/>
      <c r="P20" s="26" t="inlineStr">
        <is>
          <t>REMAINDER_TO_REPACK</t>
        </is>
      </c>
      <c r="Q20" s="25" t="inlineStr">
        <is>
          <t>OK</t>
        </is>
      </c>
      <c r="R20" s="26" t="inlineStr">
        <is>
          <t>완박스를 표준박스로 매핑하지 않고 자체 출고 카톤으로 사용</t>
        </is>
      </c>
      <c r="S20" s="27" t="inlineStr">
        <is>
          <t>FBX007</t>
        </is>
      </c>
      <c r="T20" s="27" t="inlineStr">
        <is>
          <t>완박스 39x25x22</t>
        </is>
      </c>
      <c r="U20" s="27" t="inlineStr">
        <is>
          <t>Y</t>
        </is>
      </c>
      <c r="V20" s="27" t="inlineStr">
        <is>
          <t>FBG053</t>
        </is>
      </c>
    </row>
    <row r="21" ht="30" customHeight="1" s="42">
      <c r="A21" s="22" t="inlineStr">
        <is>
          <t>B301110</t>
        </is>
      </c>
      <c r="B21" s="22" t="inlineStr">
        <is>
          <t>데네브 클래식 에이치 리도</t>
        </is>
      </c>
      <c r="C21" s="23" t="n">
        <v>100</v>
      </c>
      <c r="D21" s="23" t="n">
        <v>48.5</v>
      </c>
      <c r="E21" s="23" t="n">
        <v>40.5</v>
      </c>
      <c r="F21" s="23" t="n">
        <v>38</v>
      </c>
      <c r="G21" s="23" t="n">
        <v>8.119999999999999</v>
      </c>
      <c r="H21" s="24" t="n">
        <v>1</v>
      </c>
      <c r="I21" s="25" t="inlineStr">
        <is>
          <t>Y</t>
        </is>
      </c>
      <c r="J21" s="26" t="inlineStr">
        <is>
          <t>완박스 정보.xlsx</t>
        </is>
      </c>
      <c r="K21" s="26" t="inlineStr">
        <is>
          <t>FBX056</t>
        </is>
      </c>
      <c r="L21" s="26" t="inlineStr">
        <is>
          <t>OWN_CARTON</t>
        </is>
      </c>
      <c r="M21" s="26" t="inlineStr">
        <is>
          <t>FULLBOX_CARTON</t>
        </is>
      </c>
      <c r="N21" s="25" t="inlineStr">
        <is>
          <t>N</t>
        </is>
      </c>
      <c r="O21" s="26" t="n"/>
      <c r="P21" s="26" t="inlineStr">
        <is>
          <t>REMAINDER_TO_REPACK</t>
        </is>
      </c>
      <c r="Q21" s="25" t="inlineStr">
        <is>
          <t>OK</t>
        </is>
      </c>
      <c r="R21" s="26" t="inlineStr">
        <is>
          <t>완박스를 표준박스로 매핑하지 않고 자체 출고 카톤으로 사용</t>
        </is>
      </c>
      <c r="S21" s="27" t="inlineStr">
        <is>
          <t>FBX056</t>
        </is>
      </c>
      <c r="T21" s="27" t="inlineStr">
        <is>
          <t>완박스 48x40x38</t>
        </is>
      </c>
      <c r="U21" s="27" t="inlineStr">
        <is>
          <t>Y</t>
        </is>
      </c>
      <c r="V21" s="27" t="inlineStr">
        <is>
          <t>FBG026</t>
        </is>
      </c>
    </row>
    <row r="22" ht="30" customHeight="1" s="42">
      <c r="A22" s="26" t="inlineStr">
        <is>
          <t>A100410</t>
        </is>
      </c>
      <c r="B22" s="26" t="inlineStr">
        <is>
          <t>독스100u</t>
        </is>
      </c>
      <c r="C22" s="24" t="n">
        <v>200</v>
      </c>
      <c r="D22" s="60" t="n">
        <v>39.5</v>
      </c>
      <c r="E22" s="60" t="n">
        <v>22.5</v>
      </c>
      <c r="F22" s="60" t="n">
        <v>39.5</v>
      </c>
      <c r="G22" s="60" t="n">
        <v>6.7</v>
      </c>
      <c r="H22" s="24" t="n">
        <v>1</v>
      </c>
      <c r="I22" s="25" t="inlineStr">
        <is>
          <t>Y</t>
        </is>
      </c>
      <c r="J22" s="26" t="inlineStr">
        <is>
          <t>완박스 정보.xlsx</t>
        </is>
      </c>
      <c r="K22" s="26" t="inlineStr">
        <is>
          <t>FBX012</t>
        </is>
      </c>
      <c r="L22" s="26" t="inlineStr">
        <is>
          <t>OWN_CARTON</t>
        </is>
      </c>
      <c r="M22" s="26" t="inlineStr">
        <is>
          <t>FULLBOX_CARTON</t>
        </is>
      </c>
      <c r="N22" s="25" t="inlineStr">
        <is>
          <t>N</t>
        </is>
      </c>
      <c r="O22" s="26" t="n"/>
      <c r="P22" s="26" t="inlineStr">
        <is>
          <t>REMAINDER_TO_REPACK</t>
        </is>
      </c>
      <c r="Q22" s="25" t="inlineStr">
        <is>
          <t>OK</t>
        </is>
      </c>
      <c r="R22" s="26" t="inlineStr">
        <is>
          <t>완박스를 표준박스로 매핑하지 않고 자체 출고 카톤으로 사용</t>
        </is>
      </c>
      <c r="S22" s="27" t="inlineStr">
        <is>
          <t>FBX012</t>
        </is>
      </c>
      <c r="T22" s="27" t="inlineStr">
        <is>
          <t>완박스 39.5x22.5x39.5</t>
        </is>
      </c>
      <c r="U22" s="27" t="inlineStr">
        <is>
          <t>Y</t>
        </is>
      </c>
      <c r="V22" s="27" t="inlineStr">
        <is>
          <t>FBG043</t>
        </is>
      </c>
    </row>
    <row r="23">
      <c r="A23" s="26" t="inlineStr">
        <is>
          <t>A200150</t>
        </is>
      </c>
      <c r="B23" s="26" t="inlineStr">
        <is>
          <t>드메이 #1</t>
        </is>
      </c>
      <c r="C23" s="24" t="n">
        <v>100</v>
      </c>
      <c r="D23" s="24" t="n">
        <v>46</v>
      </c>
      <c r="E23" s="24" t="n">
        <v>37</v>
      </c>
      <c r="F23" s="24" t="n">
        <v>32</v>
      </c>
      <c r="G23" s="60" t="n">
        <v>6.2</v>
      </c>
      <c r="H23" s="24" t="n">
        <v>1</v>
      </c>
      <c r="I23" s="25" t="inlineStr">
        <is>
          <t>Y</t>
        </is>
      </c>
      <c r="J23" s="26" t="inlineStr">
        <is>
          <t>완박스 정보.xlsx</t>
        </is>
      </c>
      <c r="K23" s="26" t="inlineStr">
        <is>
          <t>FBX043</t>
        </is>
      </c>
      <c r="L23" s="26" t="inlineStr">
        <is>
          <t>OWN_CARTON</t>
        </is>
      </c>
      <c r="M23" s="26" t="inlineStr">
        <is>
          <t>FULLBOX_CARTON</t>
        </is>
      </c>
      <c r="N23" s="25" t="inlineStr">
        <is>
          <t>N</t>
        </is>
      </c>
      <c r="O23" s="26" t="n"/>
      <c r="P23" s="26" t="inlineStr">
        <is>
          <t>REMAINDER_TO_REPACK</t>
        </is>
      </c>
      <c r="Q23" s="25" t="inlineStr">
        <is>
          <t>OK</t>
        </is>
      </c>
      <c r="R23" s="26" t="inlineStr">
        <is>
          <t>완박스를 표준박스로 매핑하지 않고 자체 출고 카톤으로 사용</t>
        </is>
      </c>
      <c r="S23" s="27" t="inlineStr">
        <is>
          <t>FBX043</t>
        </is>
      </c>
      <c r="T23" s="27" t="inlineStr">
        <is>
          <t>완박스 46x37x32</t>
        </is>
      </c>
      <c r="U23" s="27" t="inlineStr">
        <is>
          <t>Y</t>
        </is>
      </c>
      <c r="V23" s="27" t="inlineStr">
        <is>
          <t>FBG023</t>
        </is>
      </c>
    </row>
    <row r="24">
      <c r="A24" s="26" t="inlineStr">
        <is>
          <t>A200145</t>
        </is>
      </c>
      <c r="B24" s="26" t="inlineStr">
        <is>
          <t>드메이 #2</t>
        </is>
      </c>
      <c r="C24" s="24" t="n">
        <v>100</v>
      </c>
      <c r="D24" s="24" t="n">
        <v>46</v>
      </c>
      <c r="E24" s="24" t="n">
        <v>37</v>
      </c>
      <c r="F24" s="24" t="n">
        <v>32</v>
      </c>
      <c r="G24" s="60" t="n">
        <v>6.2</v>
      </c>
      <c r="H24" s="24" t="n">
        <v>1</v>
      </c>
      <c r="I24" s="25" t="inlineStr">
        <is>
          <t>Y</t>
        </is>
      </c>
      <c r="J24" s="26" t="inlineStr">
        <is>
          <t>완박스 정보.xlsx</t>
        </is>
      </c>
      <c r="K24" s="26" t="inlineStr">
        <is>
          <t>FBX043</t>
        </is>
      </c>
      <c r="L24" s="26" t="inlineStr">
        <is>
          <t>OWN_CARTON</t>
        </is>
      </c>
      <c r="M24" s="26" t="inlineStr">
        <is>
          <t>FULLBOX_CARTON</t>
        </is>
      </c>
      <c r="N24" s="25" t="inlineStr">
        <is>
          <t>N</t>
        </is>
      </c>
      <c r="O24" s="26" t="n"/>
      <c r="P24" s="26" t="inlineStr">
        <is>
          <t>REMAINDER_TO_REPACK</t>
        </is>
      </c>
      <c r="Q24" s="25" t="inlineStr">
        <is>
          <t>OK</t>
        </is>
      </c>
      <c r="R24" s="26" t="inlineStr">
        <is>
          <t>완박스를 표준박스로 매핑하지 않고 자체 출고 카톤으로 사용</t>
        </is>
      </c>
      <c r="S24" s="27" t="inlineStr">
        <is>
          <t>FBX043</t>
        </is>
      </c>
      <c r="T24" s="27" t="inlineStr">
        <is>
          <t>완박스 46x37x32</t>
        </is>
      </c>
      <c r="U24" s="27" t="inlineStr">
        <is>
          <t>Y</t>
        </is>
      </c>
      <c r="V24" s="27" t="inlineStr">
        <is>
          <t>FBG023</t>
        </is>
      </c>
    </row>
    <row r="25">
      <c r="A25" s="26" t="inlineStr">
        <is>
          <t>A200140</t>
        </is>
      </c>
      <c r="B25" s="26" t="inlineStr">
        <is>
          <t>드메이 #3</t>
        </is>
      </c>
      <c r="C25" s="24" t="n">
        <v>100</v>
      </c>
      <c r="D25" s="24" t="n">
        <v>46</v>
      </c>
      <c r="E25" s="24" t="n">
        <v>37</v>
      </c>
      <c r="F25" s="24" t="n">
        <v>32</v>
      </c>
      <c r="G25" s="60" t="n">
        <v>6.2</v>
      </c>
      <c r="H25" s="24" t="n">
        <v>1</v>
      </c>
      <c r="I25" s="25" t="inlineStr">
        <is>
          <t>Y</t>
        </is>
      </c>
      <c r="J25" s="26" t="inlineStr">
        <is>
          <t>완박스 정보.xlsx</t>
        </is>
      </c>
      <c r="K25" s="26" t="inlineStr">
        <is>
          <t>FBX043</t>
        </is>
      </c>
      <c r="L25" s="26" t="inlineStr">
        <is>
          <t>OWN_CARTON</t>
        </is>
      </c>
      <c r="M25" s="26" t="inlineStr">
        <is>
          <t>FULLBOX_CARTON</t>
        </is>
      </c>
      <c r="N25" s="25" t="inlineStr">
        <is>
          <t>N</t>
        </is>
      </c>
      <c r="O25" s="26" t="n"/>
      <c r="P25" s="26" t="inlineStr">
        <is>
          <t>REMAINDER_TO_REPACK</t>
        </is>
      </c>
      <c r="Q25" s="25" t="inlineStr">
        <is>
          <t>OK</t>
        </is>
      </c>
      <c r="R25" s="26" t="inlineStr">
        <is>
          <t>완박스를 표준박스로 매핑하지 않고 자체 출고 카톤으로 사용</t>
        </is>
      </c>
      <c r="S25" s="27" t="inlineStr">
        <is>
          <t>FBX043</t>
        </is>
      </c>
      <c r="T25" s="27" t="inlineStr">
        <is>
          <t>완박스 46x37x32</t>
        </is>
      </c>
      <c r="U25" s="27" t="inlineStr">
        <is>
          <t>Y</t>
        </is>
      </c>
      <c r="V25" s="27" t="inlineStr">
        <is>
          <t>FBG023</t>
        </is>
      </c>
    </row>
    <row r="26">
      <c r="A26" s="26" t="inlineStr">
        <is>
          <t>A200135</t>
        </is>
      </c>
      <c r="B26" s="26" t="inlineStr">
        <is>
          <t>드메이 #4 슈퍼하드</t>
        </is>
      </c>
      <c r="C26" s="24" t="n">
        <v>100</v>
      </c>
      <c r="D26" s="24" t="n">
        <v>46</v>
      </c>
      <c r="E26" s="24" t="n">
        <v>37</v>
      </c>
      <c r="F26" s="24" t="n">
        <v>32</v>
      </c>
      <c r="G26" s="60" t="n">
        <v>6.2</v>
      </c>
      <c r="H26" s="24" t="n">
        <v>1</v>
      </c>
      <c r="I26" s="25" t="inlineStr">
        <is>
          <t>Y</t>
        </is>
      </c>
      <c r="J26" s="26" t="inlineStr">
        <is>
          <t>완박스 정보.xlsx</t>
        </is>
      </c>
      <c r="K26" s="26" t="inlineStr">
        <is>
          <t>FBX043</t>
        </is>
      </c>
      <c r="L26" s="26" t="inlineStr">
        <is>
          <t>OWN_CARTON</t>
        </is>
      </c>
      <c r="M26" s="26" t="inlineStr">
        <is>
          <t>FULLBOX_CARTON</t>
        </is>
      </c>
      <c r="N26" s="25" t="inlineStr">
        <is>
          <t>N</t>
        </is>
      </c>
      <c r="O26" s="26" t="n"/>
      <c r="P26" s="26" t="inlineStr">
        <is>
          <t>REMAINDER_TO_REPACK</t>
        </is>
      </c>
      <c r="Q26" s="25" t="inlineStr">
        <is>
          <t>OK</t>
        </is>
      </c>
      <c r="R26" s="26" t="inlineStr">
        <is>
          <t>완박스를 표준박스로 매핑하지 않고 자체 출고 카톤으로 사용</t>
        </is>
      </c>
      <c r="S26" s="27" t="inlineStr">
        <is>
          <t>FBX043</t>
        </is>
      </c>
      <c r="T26" s="27" t="inlineStr">
        <is>
          <t>완박스 46x37x32</t>
        </is>
      </c>
      <c r="U26" s="27" t="inlineStr">
        <is>
          <t>Y</t>
        </is>
      </c>
      <c r="V26" s="27" t="inlineStr">
        <is>
          <t>FBG023</t>
        </is>
      </c>
    </row>
    <row r="27">
      <c r="A27" s="26" t="inlineStr">
        <is>
          <t>A300520</t>
        </is>
      </c>
      <c r="B27" s="26" t="inlineStr">
        <is>
          <t xml:space="preserve">드메이 H140 </t>
        </is>
      </c>
      <c r="C27" s="24" t="n">
        <v>33</v>
      </c>
      <c r="D27" s="24" t="n">
        <v>48</v>
      </c>
      <c r="E27" s="24" t="n">
        <v>36</v>
      </c>
      <c r="F27" s="24" t="n">
        <v>32</v>
      </c>
      <c r="G27" s="60" t="n">
        <v>9.4</v>
      </c>
      <c r="H27" s="24" t="n">
        <v>1</v>
      </c>
      <c r="I27" s="25" t="inlineStr">
        <is>
          <t>Y</t>
        </is>
      </c>
      <c r="J27" s="26" t="inlineStr">
        <is>
          <t>완박스 정보.xlsx</t>
        </is>
      </c>
      <c r="K27" s="26" t="inlineStr">
        <is>
          <t>FBX053</t>
        </is>
      </c>
      <c r="L27" s="26" t="inlineStr">
        <is>
          <t>OWN_CARTON</t>
        </is>
      </c>
      <c r="M27" s="26" t="inlineStr">
        <is>
          <t>FULLBOX_CARTON</t>
        </is>
      </c>
      <c r="N27" s="25" t="inlineStr">
        <is>
          <t>N</t>
        </is>
      </c>
      <c r="O27" s="26" t="n"/>
      <c r="P27" s="26" t="inlineStr">
        <is>
          <t>REMAINDER_TO_REPACK</t>
        </is>
      </c>
      <c r="Q27" s="25" t="inlineStr">
        <is>
          <t>OK</t>
        </is>
      </c>
      <c r="R27" s="26" t="inlineStr">
        <is>
          <t>완박스를 표준박스로 매핑하지 않고 자체 출고 카톤으로 사용</t>
        </is>
      </c>
      <c r="S27" s="27" t="inlineStr">
        <is>
          <t>FBX053</t>
        </is>
      </c>
      <c r="T27" s="27" t="inlineStr">
        <is>
          <t>완박스 48x36x32</t>
        </is>
      </c>
      <c r="U27" s="27" t="inlineStr">
        <is>
          <t>Y</t>
        </is>
      </c>
      <c r="V27" s="27" t="inlineStr">
        <is>
          <t>FBG056</t>
        </is>
      </c>
    </row>
    <row r="28">
      <c r="A28" s="26" t="inlineStr">
        <is>
          <t>A300430</t>
        </is>
      </c>
      <c r="B28" s="26" t="inlineStr">
        <is>
          <t>드메이 PLA</t>
        </is>
      </c>
      <c r="C28" s="24" t="n">
        <v>400</v>
      </c>
      <c r="D28" s="24" t="n">
        <v>46</v>
      </c>
      <c r="E28" s="24" t="n">
        <v>37</v>
      </c>
      <c r="F28" s="24" t="n">
        <v>32</v>
      </c>
      <c r="G28" s="24" t="n">
        <v>11</v>
      </c>
      <c r="H28" s="24" t="n">
        <v>1</v>
      </c>
      <c r="I28" s="25" t="inlineStr">
        <is>
          <t>Y</t>
        </is>
      </c>
      <c r="J28" s="26" t="inlineStr">
        <is>
          <t>완박스 정보.xlsx</t>
        </is>
      </c>
      <c r="K28" s="26" t="inlineStr">
        <is>
          <t>FBX046</t>
        </is>
      </c>
      <c r="L28" s="26" t="inlineStr">
        <is>
          <t>OWN_CARTON</t>
        </is>
      </c>
      <c r="M28" s="26" t="inlineStr">
        <is>
          <t>FULLBOX_CARTON</t>
        </is>
      </c>
      <c r="N28" s="25" t="inlineStr">
        <is>
          <t>N</t>
        </is>
      </c>
      <c r="O28" s="26" t="n"/>
      <c r="P28" s="26" t="inlineStr">
        <is>
          <t>REMAINDER_TO_REPACK</t>
        </is>
      </c>
      <c r="Q28" s="25" t="inlineStr">
        <is>
          <t>OK</t>
        </is>
      </c>
      <c r="R28" s="26" t="inlineStr">
        <is>
          <t>완박스를 표준박스로 매핑하지 않고 자체 출고 카톤으로 사용</t>
        </is>
      </c>
      <c r="S28" s="27" t="inlineStr">
        <is>
          <t>FBX046</t>
        </is>
      </c>
      <c r="T28" s="27" t="inlineStr">
        <is>
          <t>완박스 46x37x32</t>
        </is>
      </c>
      <c r="U28" s="27" t="inlineStr">
        <is>
          <t>Y</t>
        </is>
      </c>
      <c r="V28" s="27" t="inlineStr">
        <is>
          <t>FBG023</t>
        </is>
      </c>
    </row>
    <row r="29">
      <c r="A29" s="26" t="inlineStr">
        <is>
          <t>A300530</t>
        </is>
      </c>
      <c r="B29" s="26" t="inlineStr">
        <is>
          <t>드메이 레디언스 잘루부스터</t>
        </is>
      </c>
      <c r="C29" s="24" t="n">
        <v>25</v>
      </c>
      <c r="D29" s="24" t="n">
        <v>46</v>
      </c>
      <c r="E29" s="24" t="n">
        <v>37</v>
      </c>
      <c r="F29" s="24" t="n">
        <v>32</v>
      </c>
      <c r="G29" s="60" t="n">
        <v>11.5</v>
      </c>
      <c r="H29" s="24" t="n">
        <v>1</v>
      </c>
      <c r="I29" s="25" t="inlineStr">
        <is>
          <t>Y</t>
        </is>
      </c>
      <c r="J29" s="26" t="inlineStr">
        <is>
          <t>완박스 정보.xlsx</t>
        </is>
      </c>
      <c r="K29" s="26" t="inlineStr">
        <is>
          <t>FBX048</t>
        </is>
      </c>
      <c r="L29" s="26" t="inlineStr">
        <is>
          <t>OWN_CARTON</t>
        </is>
      </c>
      <c r="M29" s="26" t="inlineStr">
        <is>
          <t>FULLBOX_CARTON</t>
        </is>
      </c>
      <c r="N29" s="25" t="inlineStr">
        <is>
          <t>N</t>
        </is>
      </c>
      <c r="O29" s="26" t="n"/>
      <c r="P29" s="26" t="inlineStr">
        <is>
          <t>REMAINDER_TO_REPACK</t>
        </is>
      </c>
      <c r="Q29" s="25" t="inlineStr">
        <is>
          <t>OK</t>
        </is>
      </c>
      <c r="R29" s="26" t="inlineStr">
        <is>
          <t>완박스를 표준박스로 매핑하지 않고 자체 출고 카톤으로 사용</t>
        </is>
      </c>
      <c r="S29" s="27" t="inlineStr">
        <is>
          <t>FBX048</t>
        </is>
      </c>
      <c r="T29" s="27" t="inlineStr">
        <is>
          <t>완박스 46x37x32</t>
        </is>
      </c>
      <c r="U29" s="27" t="inlineStr">
        <is>
          <t>Y</t>
        </is>
      </c>
      <c r="V29" s="27" t="inlineStr">
        <is>
          <t>FBG023</t>
        </is>
      </c>
    </row>
    <row r="30">
      <c r="A30" s="26" t="inlineStr">
        <is>
          <t>A300345</t>
        </is>
      </c>
      <c r="B30" s="26" t="inlineStr">
        <is>
          <t>드메이 바디 100</t>
        </is>
      </c>
      <c r="C30" s="24" t="n">
        <v>50</v>
      </c>
      <c r="D30" s="24" t="n">
        <v>43</v>
      </c>
      <c r="E30" s="24" t="n">
        <v>34</v>
      </c>
      <c r="F30" s="24" t="n">
        <v>29</v>
      </c>
      <c r="G30" s="60" t="n">
        <v>10.9</v>
      </c>
      <c r="H30" s="24" t="n">
        <v>1</v>
      </c>
      <c r="I30" s="25" t="inlineStr">
        <is>
          <t>Y</t>
        </is>
      </c>
      <c r="J30" s="26" t="inlineStr">
        <is>
          <t>완박스 정보.xlsx</t>
        </is>
      </c>
      <c r="K30" s="26" t="inlineStr">
        <is>
          <t>FBX025</t>
        </is>
      </c>
      <c r="L30" s="26" t="inlineStr">
        <is>
          <t>OWN_CARTON</t>
        </is>
      </c>
      <c r="M30" s="26" t="inlineStr">
        <is>
          <t>FULLBOX_CARTON</t>
        </is>
      </c>
      <c r="N30" s="25" t="inlineStr">
        <is>
          <t>N</t>
        </is>
      </c>
      <c r="O30" s="26" t="n"/>
      <c r="P30" s="26" t="inlineStr">
        <is>
          <t>REMAINDER_TO_REPACK</t>
        </is>
      </c>
      <c r="Q30" s="25" t="inlineStr">
        <is>
          <t>OK</t>
        </is>
      </c>
      <c r="R30" s="26" t="inlineStr">
        <is>
          <t>완박스를 표준박스로 매핑하지 않고 자체 출고 카톤으로 사용</t>
        </is>
      </c>
      <c r="S30" s="27" t="inlineStr">
        <is>
          <t>FBX025</t>
        </is>
      </c>
      <c r="T30" s="27" t="inlineStr">
        <is>
          <t>완박스 43x34x29</t>
        </is>
      </c>
      <c r="U30" s="27" t="inlineStr">
        <is>
          <t>Y</t>
        </is>
      </c>
      <c r="V30" s="27" t="inlineStr">
        <is>
          <t>FBG075</t>
        </is>
      </c>
    </row>
    <row r="31">
      <c r="A31" s="26" t="inlineStr">
        <is>
          <t>A300340</t>
        </is>
      </c>
      <c r="B31" s="26" t="inlineStr">
        <is>
          <t>드메이 바디 60</t>
        </is>
      </c>
      <c r="C31" s="24" t="n">
        <v>50</v>
      </c>
      <c r="D31" s="24" t="n">
        <v>39</v>
      </c>
      <c r="E31" s="24" t="n">
        <v>25</v>
      </c>
      <c r="F31" s="24" t="n">
        <v>22</v>
      </c>
      <c r="G31" s="24" t="n">
        <v>7</v>
      </c>
      <c r="H31" s="24" t="n">
        <v>1</v>
      </c>
      <c r="I31" s="25" t="inlineStr">
        <is>
          <t>Y</t>
        </is>
      </c>
      <c r="J31" s="26" t="inlineStr">
        <is>
          <t>완박스 정보.xlsx</t>
        </is>
      </c>
      <c r="K31" s="26" t="inlineStr">
        <is>
          <t>FBX008</t>
        </is>
      </c>
      <c r="L31" s="26" t="inlineStr">
        <is>
          <t>OWN_CARTON</t>
        </is>
      </c>
      <c r="M31" s="26" t="inlineStr">
        <is>
          <t>FULLBOX_CARTON</t>
        </is>
      </c>
      <c r="N31" s="25" t="inlineStr">
        <is>
          <t>N</t>
        </is>
      </c>
      <c r="O31" s="26" t="n"/>
      <c r="P31" s="26" t="inlineStr">
        <is>
          <t>REMAINDER_TO_REPACK</t>
        </is>
      </c>
      <c r="Q31" s="25" t="inlineStr">
        <is>
          <t>OK</t>
        </is>
      </c>
      <c r="R31" s="26" t="inlineStr">
        <is>
          <t>완박스를 표준박스로 매핑하지 않고 자체 출고 카톤으로 사용</t>
        </is>
      </c>
      <c r="S31" s="27" t="inlineStr">
        <is>
          <t>FBX008</t>
        </is>
      </c>
      <c r="T31" s="27" t="inlineStr">
        <is>
          <t>완박스 39x25x22</t>
        </is>
      </c>
      <c r="U31" s="27" t="inlineStr">
        <is>
          <t>Y</t>
        </is>
      </c>
      <c r="V31" s="27" t="inlineStr">
        <is>
          <t>FBG053</t>
        </is>
      </c>
    </row>
    <row r="32" ht="30" customHeight="1" s="42">
      <c r="A32" s="26" t="inlineStr">
        <is>
          <t>A300350</t>
        </is>
      </c>
      <c r="B32" s="26" t="inlineStr">
        <is>
          <t>드메이 하이로우</t>
        </is>
      </c>
      <c r="C32" s="24" t="n">
        <v>100</v>
      </c>
      <c r="D32" s="24" t="n">
        <v>46</v>
      </c>
      <c r="E32" s="24" t="n">
        <v>37</v>
      </c>
      <c r="F32" s="24" t="n">
        <v>32</v>
      </c>
      <c r="G32" s="60" t="n">
        <v>6.4</v>
      </c>
      <c r="H32" s="24" t="n">
        <v>1</v>
      </c>
      <c r="I32" s="25" t="inlineStr">
        <is>
          <t>Y</t>
        </is>
      </c>
      <c r="J32" s="26" t="inlineStr">
        <is>
          <t>완박스 정보.xlsx</t>
        </is>
      </c>
      <c r="K32" s="26" t="inlineStr">
        <is>
          <t>FBX045</t>
        </is>
      </c>
      <c r="L32" s="26" t="inlineStr">
        <is>
          <t>OWN_CARTON</t>
        </is>
      </c>
      <c r="M32" s="26" t="inlineStr">
        <is>
          <t>FULLBOX_CARTON</t>
        </is>
      </c>
      <c r="N32" s="25" t="inlineStr">
        <is>
          <t>N</t>
        </is>
      </c>
      <c r="O32" s="26" t="n"/>
      <c r="P32" s="26" t="inlineStr">
        <is>
          <t>REMAINDER_TO_REPACK</t>
        </is>
      </c>
      <c r="Q32" s="25" t="inlineStr">
        <is>
          <t>OK</t>
        </is>
      </c>
      <c r="R32" s="26" t="inlineStr">
        <is>
          <t>완박스를 표준박스로 매핑하지 않고 자체 출고 카톤으로 사용</t>
        </is>
      </c>
      <c r="S32" s="27" t="inlineStr">
        <is>
          <t>FBX045</t>
        </is>
      </c>
      <c r="T32" s="27" t="inlineStr">
        <is>
          <t>완박스 46x37x32</t>
        </is>
      </c>
      <c r="U32" s="27" t="inlineStr">
        <is>
          <t>Y</t>
        </is>
      </c>
      <c r="V32" s="27" t="inlineStr">
        <is>
          <t>FBG023</t>
        </is>
      </c>
    </row>
    <row r="33">
      <c r="A33" s="26" t="inlineStr">
        <is>
          <t>A300351</t>
        </is>
      </c>
      <c r="B33" s="26" t="inlineStr">
        <is>
          <t>드메이 하이로우 32</t>
        </is>
      </c>
      <c r="C33" s="24" t="n">
        <v>100</v>
      </c>
      <c r="D33" s="24" t="n">
        <v>46</v>
      </c>
      <c r="E33" s="24" t="n">
        <v>37</v>
      </c>
      <c r="F33" s="24" t="n">
        <v>32</v>
      </c>
      <c r="G33" s="60" t="n">
        <v>6.2</v>
      </c>
      <c r="H33" s="24" t="n">
        <v>1</v>
      </c>
      <c r="I33" s="25" t="inlineStr">
        <is>
          <t>Y</t>
        </is>
      </c>
      <c r="J33" s="26" t="inlineStr">
        <is>
          <t>완박스 정보.xlsx</t>
        </is>
      </c>
      <c r="K33" s="26" t="inlineStr">
        <is>
          <t>FBX043</t>
        </is>
      </c>
      <c r="L33" s="26" t="inlineStr">
        <is>
          <t>OWN_CARTON</t>
        </is>
      </c>
      <c r="M33" s="26" t="inlineStr">
        <is>
          <t>FULLBOX_CARTON</t>
        </is>
      </c>
      <c r="N33" s="25" t="inlineStr">
        <is>
          <t>N</t>
        </is>
      </c>
      <c r="O33" s="26" t="n"/>
      <c r="P33" s="26" t="inlineStr">
        <is>
          <t>REMAINDER_TO_REPACK</t>
        </is>
      </c>
      <c r="Q33" s="25" t="inlineStr">
        <is>
          <t>OK</t>
        </is>
      </c>
      <c r="R33" s="26" t="inlineStr">
        <is>
          <t>완박스를 표준박스로 매핑하지 않고 자체 출고 카톤으로 사용</t>
        </is>
      </c>
      <c r="S33" s="27" t="inlineStr">
        <is>
          <t>FBX043</t>
        </is>
      </c>
      <c r="T33" s="27" t="inlineStr">
        <is>
          <t>완박스 46x37x32</t>
        </is>
      </c>
      <c r="U33" s="27" t="inlineStr">
        <is>
          <t>Y</t>
        </is>
      </c>
      <c r="V33" s="27" t="inlineStr">
        <is>
          <t>FBG023</t>
        </is>
      </c>
    </row>
    <row r="34" ht="30" customHeight="1" s="42">
      <c r="A34" s="26" t="inlineStr">
        <is>
          <t>A200155</t>
        </is>
      </c>
      <c r="B34" s="26" t="inlineStr">
        <is>
          <t>드메이#0 Hydra Solution</t>
        </is>
      </c>
      <c r="C34" s="24" t="n">
        <v>50</v>
      </c>
      <c r="D34" s="24" t="n">
        <v>40</v>
      </c>
      <c r="E34" s="60" t="n">
        <v>38.5</v>
      </c>
      <c r="F34" s="60" t="n">
        <v>27.5</v>
      </c>
      <c r="G34" s="60" t="n">
        <v>5.35</v>
      </c>
      <c r="H34" s="24" t="n">
        <v>1</v>
      </c>
      <c r="I34" s="25" t="inlineStr">
        <is>
          <t>Y</t>
        </is>
      </c>
      <c r="J34" s="26" t="inlineStr">
        <is>
          <t>완박스 정보.xlsx</t>
        </is>
      </c>
      <c r="K34" s="26" t="inlineStr">
        <is>
          <t>FBX014</t>
        </is>
      </c>
      <c r="L34" s="26" t="inlineStr">
        <is>
          <t>OWN_CARTON</t>
        </is>
      </c>
      <c r="M34" s="26" t="inlineStr">
        <is>
          <t>FULLBOX_CARTON</t>
        </is>
      </c>
      <c r="N34" s="25" t="inlineStr">
        <is>
          <t>N</t>
        </is>
      </c>
      <c r="O34" s="26" t="n"/>
      <c r="P34" s="26" t="inlineStr">
        <is>
          <t>REMAINDER_TO_REPACK</t>
        </is>
      </c>
      <c r="Q34" s="25" t="inlineStr">
        <is>
          <t>OK</t>
        </is>
      </c>
      <c r="R34" s="26" t="inlineStr">
        <is>
          <t>완박스를 표준박스로 매핑하지 않고 자체 출고 카톤으로 사용</t>
        </is>
      </c>
      <c r="S34" s="27" t="inlineStr">
        <is>
          <t>FBX014</t>
        </is>
      </c>
      <c r="T34" s="27" t="inlineStr">
        <is>
          <t>완박스 40x38.5x27.5</t>
        </is>
      </c>
      <c r="U34" s="27" t="inlineStr">
        <is>
          <t>Y</t>
        </is>
      </c>
      <c r="V34" s="27" t="inlineStr">
        <is>
          <t>FBG068</t>
        </is>
      </c>
    </row>
    <row r="35">
      <c r="A35" s="26" t="inlineStr">
        <is>
          <t>B301410</t>
        </is>
      </c>
      <c r="B35" s="26" t="inlineStr">
        <is>
          <t>라푸른 오로라 비비드</t>
        </is>
      </c>
      <c r="C35" s="24" t="n">
        <v>136</v>
      </c>
      <c r="D35" s="24" t="n">
        <v>59</v>
      </c>
      <c r="E35" s="24" t="n">
        <v>41</v>
      </c>
      <c r="F35" s="24" t="n">
        <v>40</v>
      </c>
      <c r="G35" s="60" t="n">
        <v>19.3</v>
      </c>
      <c r="H35" s="24" t="n">
        <v>1</v>
      </c>
      <c r="I35" s="25" t="inlineStr">
        <is>
          <t>Y</t>
        </is>
      </c>
      <c r="J35" s="26" t="inlineStr">
        <is>
          <t>완박스 정보.xlsx</t>
        </is>
      </c>
      <c r="K35" s="26" t="inlineStr">
        <is>
          <t>FBX083</t>
        </is>
      </c>
      <c r="L35" s="26" t="inlineStr">
        <is>
          <t>OWN_CARTON</t>
        </is>
      </c>
      <c r="M35" s="26" t="inlineStr">
        <is>
          <t>FULLBOX_CARTON</t>
        </is>
      </c>
      <c r="N35" s="25" t="inlineStr">
        <is>
          <t>N</t>
        </is>
      </c>
      <c r="O35" s="26" t="n"/>
      <c r="P35" s="26" t="inlineStr">
        <is>
          <t>REMAINDER_TO_REPACK</t>
        </is>
      </c>
      <c r="Q35" s="25" t="inlineStr">
        <is>
          <t>OK</t>
        </is>
      </c>
      <c r="R35" s="26" t="inlineStr">
        <is>
          <t>완박스를 표준박스로 매핑하지 않고 자체 출고 카톤으로 사용</t>
        </is>
      </c>
      <c r="S35" s="27" t="inlineStr">
        <is>
          <t>FBX083</t>
        </is>
      </c>
      <c r="T35" s="27" t="inlineStr">
        <is>
          <t>완박스 59x41x40</t>
        </is>
      </c>
      <c r="U35" s="27" t="inlineStr">
        <is>
          <t>Y</t>
        </is>
      </c>
      <c r="V35" s="27" t="inlineStr">
        <is>
          <t>FBG048</t>
        </is>
      </c>
    </row>
    <row r="36">
      <c r="A36" s="26" t="inlineStr">
        <is>
          <t>B301420</t>
        </is>
      </c>
      <c r="B36" s="26" t="inlineStr">
        <is>
          <t>라푸른 오로라 슈퍼</t>
        </is>
      </c>
      <c r="C36" s="24" t="n">
        <v>120</v>
      </c>
      <c r="D36" s="24" t="n">
        <v>59</v>
      </c>
      <c r="E36" s="24" t="n">
        <v>41</v>
      </c>
      <c r="F36" s="24" t="n">
        <v>40</v>
      </c>
      <c r="G36" s="24" t="n">
        <v>14</v>
      </c>
      <c r="H36" s="24" t="n">
        <v>1</v>
      </c>
      <c r="I36" s="25" t="inlineStr">
        <is>
          <t>Y</t>
        </is>
      </c>
      <c r="J36" s="26" t="inlineStr">
        <is>
          <t>완박스 정보.xlsx</t>
        </is>
      </c>
      <c r="K36" s="26" t="inlineStr">
        <is>
          <t>FBX082</t>
        </is>
      </c>
      <c r="L36" s="26" t="inlineStr">
        <is>
          <t>OWN_CARTON</t>
        </is>
      </c>
      <c r="M36" s="26" t="inlineStr">
        <is>
          <t>FULLBOX_CARTON</t>
        </is>
      </c>
      <c r="N36" s="25" t="inlineStr">
        <is>
          <t>N</t>
        </is>
      </c>
      <c r="O36" s="26" t="n"/>
      <c r="P36" s="26" t="inlineStr">
        <is>
          <t>REMAINDER_TO_REPACK</t>
        </is>
      </c>
      <c r="Q36" s="25" t="inlineStr">
        <is>
          <t>OK</t>
        </is>
      </c>
      <c r="R36" s="26" t="inlineStr">
        <is>
          <t>완박스를 표준박스로 매핑하지 않고 자체 출고 카톤으로 사용</t>
        </is>
      </c>
      <c r="S36" s="27" t="inlineStr">
        <is>
          <t>FBX082</t>
        </is>
      </c>
      <c r="T36" s="27" t="inlineStr">
        <is>
          <t>완박스 59x41x40</t>
        </is>
      </c>
      <c r="U36" s="27" t="inlineStr">
        <is>
          <t>Y</t>
        </is>
      </c>
      <c r="V36" s="27" t="inlineStr">
        <is>
          <t>FBG048</t>
        </is>
      </c>
    </row>
    <row r="37" ht="30" customHeight="1" s="42">
      <c r="A37" s="26" t="inlineStr">
        <is>
          <t>B201040</t>
        </is>
      </c>
      <c r="B37" s="26" t="inlineStr">
        <is>
          <t>레나1</t>
        </is>
      </c>
      <c r="C37" s="24" t="n">
        <v>50</v>
      </c>
      <c r="D37" s="24" t="n">
        <v>40</v>
      </c>
      <c r="E37" s="60" t="n">
        <v>38.5</v>
      </c>
      <c r="F37" s="60" t="n">
        <v>30.5</v>
      </c>
      <c r="G37" s="60" t="n">
        <v>4.2</v>
      </c>
      <c r="H37" s="24" t="n">
        <v>1</v>
      </c>
      <c r="I37" s="25" t="inlineStr">
        <is>
          <t>Y</t>
        </is>
      </c>
      <c r="J37" s="26" t="inlineStr">
        <is>
          <t>완박스 정보.xlsx</t>
        </is>
      </c>
      <c r="K37" s="26" t="inlineStr">
        <is>
          <t>FBX016</t>
        </is>
      </c>
      <c r="L37" s="26" t="inlineStr">
        <is>
          <t>OWN_CARTON</t>
        </is>
      </c>
      <c r="M37" s="26" t="inlineStr">
        <is>
          <t>FULLBOX_CARTON</t>
        </is>
      </c>
      <c r="N37" s="25" t="inlineStr">
        <is>
          <t>N</t>
        </is>
      </c>
      <c r="O37" s="26" t="n"/>
      <c r="P37" s="26" t="inlineStr">
        <is>
          <t>REMAINDER_TO_REPACK</t>
        </is>
      </c>
      <c r="Q37" s="25" t="inlineStr">
        <is>
          <t>OK</t>
        </is>
      </c>
      <c r="R37" s="26" t="inlineStr">
        <is>
          <t>완박스를 표준박스로 매핑하지 않고 자체 출고 카톤으로 사용</t>
        </is>
      </c>
      <c r="S37" s="27" t="inlineStr">
        <is>
          <t>FBX016</t>
        </is>
      </c>
      <c r="T37" s="27" t="inlineStr">
        <is>
          <t>완박스 40x38.5x30.5</t>
        </is>
      </c>
      <c r="U37" s="27" t="inlineStr">
        <is>
          <t>Y</t>
        </is>
      </c>
      <c r="V37" s="27" t="inlineStr">
        <is>
          <t>FBG070</t>
        </is>
      </c>
    </row>
    <row r="38" ht="30" customHeight="1" s="42">
      <c r="A38" s="26" t="inlineStr">
        <is>
          <t>B201030</t>
        </is>
      </c>
      <c r="B38" s="26" t="inlineStr">
        <is>
          <t>레나2</t>
        </is>
      </c>
      <c r="C38" s="24" t="n">
        <v>50</v>
      </c>
      <c r="D38" s="24" t="n">
        <v>40</v>
      </c>
      <c r="E38" s="60" t="n">
        <v>38.5</v>
      </c>
      <c r="F38" s="60" t="n">
        <v>30.5</v>
      </c>
      <c r="G38" s="60" t="n">
        <v>4.2</v>
      </c>
      <c r="H38" s="24" t="n">
        <v>1</v>
      </c>
      <c r="I38" s="25" t="inlineStr">
        <is>
          <t>Y</t>
        </is>
      </c>
      <c r="J38" s="26" t="inlineStr">
        <is>
          <t>완박스 정보.xlsx</t>
        </is>
      </c>
      <c r="K38" s="26" t="inlineStr">
        <is>
          <t>FBX016</t>
        </is>
      </c>
      <c r="L38" s="26" t="inlineStr">
        <is>
          <t>OWN_CARTON</t>
        </is>
      </c>
      <c r="M38" s="26" t="inlineStr">
        <is>
          <t>FULLBOX_CARTON</t>
        </is>
      </c>
      <c r="N38" s="25" t="inlineStr">
        <is>
          <t>N</t>
        </is>
      </c>
      <c r="O38" s="26" t="n"/>
      <c r="P38" s="26" t="inlineStr">
        <is>
          <t>REMAINDER_TO_REPACK</t>
        </is>
      </c>
      <c r="Q38" s="25" t="inlineStr">
        <is>
          <t>OK</t>
        </is>
      </c>
      <c r="R38" s="26" t="inlineStr">
        <is>
          <t>완박스를 표준박스로 매핑하지 않고 자체 출고 카톤으로 사용</t>
        </is>
      </c>
      <c r="S38" s="27" t="inlineStr">
        <is>
          <t>FBX016</t>
        </is>
      </c>
      <c r="T38" s="27" t="inlineStr">
        <is>
          <t>완박스 40x38.5x30.5</t>
        </is>
      </c>
      <c r="U38" s="27" t="inlineStr">
        <is>
          <t>Y</t>
        </is>
      </c>
      <c r="V38" s="27" t="inlineStr">
        <is>
          <t>FBG070</t>
        </is>
      </c>
    </row>
    <row r="39" ht="30" customHeight="1" s="42">
      <c r="A39" s="26" t="inlineStr">
        <is>
          <t>B201020</t>
        </is>
      </c>
      <c r="B39" s="26" t="inlineStr">
        <is>
          <t>레나3</t>
        </is>
      </c>
      <c r="C39" s="24" t="n">
        <v>50</v>
      </c>
      <c r="D39" s="24" t="n">
        <v>40</v>
      </c>
      <c r="E39" s="60" t="n">
        <v>38.5</v>
      </c>
      <c r="F39" s="60" t="n">
        <v>30.5</v>
      </c>
      <c r="G39" s="60" t="n">
        <v>4.2</v>
      </c>
      <c r="H39" s="24" t="n">
        <v>1</v>
      </c>
      <c r="I39" s="25" t="inlineStr">
        <is>
          <t>Y</t>
        </is>
      </c>
      <c r="J39" s="26" t="inlineStr">
        <is>
          <t>완박스 정보.xlsx</t>
        </is>
      </c>
      <c r="K39" s="26" t="inlineStr">
        <is>
          <t>FBX016</t>
        </is>
      </c>
      <c r="L39" s="26" t="inlineStr">
        <is>
          <t>OWN_CARTON</t>
        </is>
      </c>
      <c r="M39" s="26" t="inlineStr">
        <is>
          <t>FULLBOX_CARTON</t>
        </is>
      </c>
      <c r="N39" s="25" t="inlineStr">
        <is>
          <t>N</t>
        </is>
      </c>
      <c r="O39" s="26" t="n"/>
      <c r="P39" s="26" t="inlineStr">
        <is>
          <t>REMAINDER_TO_REPACK</t>
        </is>
      </c>
      <c r="Q39" s="25" t="inlineStr">
        <is>
          <t>OK</t>
        </is>
      </c>
      <c r="R39" s="26" t="inlineStr">
        <is>
          <t>완박스를 표준박스로 매핑하지 않고 자체 출고 카톤으로 사용</t>
        </is>
      </c>
      <c r="S39" s="27" t="inlineStr">
        <is>
          <t>FBX016</t>
        </is>
      </c>
      <c r="T39" s="27" t="inlineStr">
        <is>
          <t>완박스 40x38.5x30.5</t>
        </is>
      </c>
      <c r="U39" s="27" t="inlineStr">
        <is>
          <t>Y</t>
        </is>
      </c>
      <c r="V39" s="27" t="inlineStr">
        <is>
          <t>FBG070</t>
        </is>
      </c>
    </row>
    <row r="40" ht="30" customHeight="1" s="42">
      <c r="A40" s="26" t="inlineStr">
        <is>
          <t>B201010</t>
        </is>
      </c>
      <c r="B40" s="26" t="inlineStr">
        <is>
          <t>레나4</t>
        </is>
      </c>
      <c r="C40" s="24" t="n">
        <v>50</v>
      </c>
      <c r="D40" s="24" t="n">
        <v>40</v>
      </c>
      <c r="E40" s="60" t="n">
        <v>38.5</v>
      </c>
      <c r="F40" s="60" t="n">
        <v>30.5</v>
      </c>
      <c r="G40" s="60" t="n">
        <v>4.2</v>
      </c>
      <c r="H40" s="24" t="n">
        <v>1</v>
      </c>
      <c r="I40" s="25" t="inlineStr">
        <is>
          <t>Y</t>
        </is>
      </c>
      <c r="J40" s="26" t="inlineStr">
        <is>
          <t>완박스 정보.xlsx</t>
        </is>
      </c>
      <c r="K40" s="26" t="inlineStr">
        <is>
          <t>FBX016</t>
        </is>
      </c>
      <c r="L40" s="26" t="inlineStr">
        <is>
          <t>OWN_CARTON</t>
        </is>
      </c>
      <c r="M40" s="26" t="inlineStr">
        <is>
          <t>FULLBOX_CARTON</t>
        </is>
      </c>
      <c r="N40" s="25" t="inlineStr">
        <is>
          <t>N</t>
        </is>
      </c>
      <c r="O40" s="26" t="n"/>
      <c r="P40" s="26" t="inlineStr">
        <is>
          <t>REMAINDER_TO_REPACK</t>
        </is>
      </c>
      <c r="Q40" s="25" t="inlineStr">
        <is>
          <t>OK</t>
        </is>
      </c>
      <c r="R40" s="26" t="inlineStr">
        <is>
          <t>완박스를 표준박스로 매핑하지 않고 자체 출고 카톤으로 사용</t>
        </is>
      </c>
      <c r="S40" s="27" t="inlineStr">
        <is>
          <t>FBX016</t>
        </is>
      </c>
      <c r="T40" s="27" t="inlineStr">
        <is>
          <t>완박스 40x38.5x30.5</t>
        </is>
      </c>
      <c r="U40" s="27" t="inlineStr">
        <is>
          <t>Y</t>
        </is>
      </c>
      <c r="V40" s="27" t="inlineStr">
        <is>
          <t>FBG070</t>
        </is>
      </c>
    </row>
    <row r="41" ht="30" customHeight="1" s="42">
      <c r="A41" s="26" t="inlineStr">
        <is>
          <t>A100110</t>
        </is>
      </c>
      <c r="B41" s="26" t="inlineStr">
        <is>
          <t>레드톡스100u</t>
        </is>
      </c>
      <c r="C41" s="24" t="n">
        <v>200</v>
      </c>
      <c r="D41" s="60" t="n">
        <v>39.5</v>
      </c>
      <c r="E41" s="60" t="n">
        <v>22.5</v>
      </c>
      <c r="F41" s="60" t="n">
        <v>39.5</v>
      </c>
      <c r="G41" s="60" t="n">
        <v>6.6</v>
      </c>
      <c r="H41" s="24" t="n">
        <v>1</v>
      </c>
      <c r="I41" s="25" t="inlineStr">
        <is>
          <t>Y</t>
        </is>
      </c>
      <c r="J41" s="26" t="inlineStr">
        <is>
          <t>완박스 정보.xlsx</t>
        </is>
      </c>
      <c r="K41" s="26" t="inlineStr">
        <is>
          <t>FBX011</t>
        </is>
      </c>
      <c r="L41" s="26" t="inlineStr">
        <is>
          <t>OWN_CARTON</t>
        </is>
      </c>
      <c r="M41" s="26" t="inlineStr">
        <is>
          <t>FULLBOX_CARTON</t>
        </is>
      </c>
      <c r="N41" s="25" t="inlineStr">
        <is>
          <t>N</t>
        </is>
      </c>
      <c r="O41" s="26" t="n"/>
      <c r="P41" s="26" t="inlineStr">
        <is>
          <t>REMAINDER_TO_REPACK</t>
        </is>
      </c>
      <c r="Q41" s="25" t="inlineStr">
        <is>
          <t>OK</t>
        </is>
      </c>
      <c r="R41" s="26" t="inlineStr">
        <is>
          <t>완박스를 표준박스로 매핑하지 않고 자체 출고 카톤으로 사용</t>
        </is>
      </c>
      <c r="S41" s="27" t="inlineStr">
        <is>
          <t>FBX011</t>
        </is>
      </c>
      <c r="T41" s="27" t="inlineStr">
        <is>
          <t>완박스 39.5x22.5x39.5</t>
        </is>
      </c>
      <c r="U41" s="27" t="inlineStr">
        <is>
          <t>Y</t>
        </is>
      </c>
      <c r="V41" s="27" t="inlineStr">
        <is>
          <t>FBG043</t>
        </is>
      </c>
    </row>
    <row r="42" ht="30" customHeight="1" s="42">
      <c r="A42" s="26" t="inlineStr">
        <is>
          <t>A100120</t>
        </is>
      </c>
      <c r="B42" s="26" t="inlineStr">
        <is>
          <t>레드톡스200u</t>
        </is>
      </c>
      <c r="C42" s="24" t="n">
        <v>200</v>
      </c>
      <c r="D42" s="60" t="n">
        <v>39.5</v>
      </c>
      <c r="E42" s="60" t="n">
        <v>22.5</v>
      </c>
      <c r="F42" s="60" t="n">
        <v>39.5</v>
      </c>
      <c r="G42" s="60" t="n">
        <v>6.6</v>
      </c>
      <c r="H42" s="24" t="n">
        <v>1</v>
      </c>
      <c r="I42" s="25" t="inlineStr">
        <is>
          <t>Y</t>
        </is>
      </c>
      <c r="J42" s="26" t="inlineStr">
        <is>
          <t>완박스 정보.xlsx</t>
        </is>
      </c>
      <c r="K42" s="26" t="inlineStr">
        <is>
          <t>FBX011</t>
        </is>
      </c>
      <c r="L42" s="26" t="inlineStr">
        <is>
          <t>OWN_CARTON</t>
        </is>
      </c>
      <c r="M42" s="26" t="inlineStr">
        <is>
          <t>FULLBOX_CARTON</t>
        </is>
      </c>
      <c r="N42" s="25" t="inlineStr">
        <is>
          <t>N</t>
        </is>
      </c>
      <c r="O42" s="26" t="n"/>
      <c r="P42" s="26" t="inlineStr">
        <is>
          <t>REMAINDER_TO_REPACK</t>
        </is>
      </c>
      <c r="Q42" s="25" t="inlineStr">
        <is>
          <t>OK</t>
        </is>
      </c>
      <c r="R42" s="26" t="inlineStr">
        <is>
          <t>완박스를 표준박스로 매핑하지 않고 자체 출고 카톤으로 사용</t>
        </is>
      </c>
      <c r="S42" s="27" t="inlineStr">
        <is>
          <t>FBX011</t>
        </is>
      </c>
      <c r="T42" s="27" t="inlineStr">
        <is>
          <t>완박스 39.5x22.5x39.5</t>
        </is>
      </c>
      <c r="U42" s="27" t="inlineStr">
        <is>
          <t>Y</t>
        </is>
      </c>
      <c r="V42" s="27" t="inlineStr">
        <is>
          <t>FBG043</t>
        </is>
      </c>
    </row>
    <row r="43">
      <c r="A43" s="26" t="inlineStr">
        <is>
          <t>B201320</t>
        </is>
      </c>
      <c r="B43" s="26" t="inlineStr">
        <is>
          <t>레볼락스 딥</t>
        </is>
      </c>
      <c r="C43" s="24" t="n">
        <v>200</v>
      </c>
      <c r="D43" s="24" t="n">
        <v>59</v>
      </c>
      <c r="E43" s="24" t="n">
        <v>41</v>
      </c>
      <c r="F43" s="24" t="n">
        <v>41</v>
      </c>
      <c r="G43" s="60" t="n">
        <v>10.6</v>
      </c>
      <c r="H43" s="24" t="n">
        <v>1</v>
      </c>
      <c r="I43" s="25" t="inlineStr">
        <is>
          <t>Y</t>
        </is>
      </c>
      <c r="J43" s="26" t="inlineStr">
        <is>
          <t>완박스 정보.xlsx</t>
        </is>
      </c>
      <c r="K43" s="26" t="inlineStr">
        <is>
          <t>FBX084</t>
        </is>
      </c>
      <c r="L43" s="26" t="inlineStr">
        <is>
          <t>OWN_CARTON</t>
        </is>
      </c>
      <c r="M43" s="26" t="inlineStr">
        <is>
          <t>FULLBOX_CARTON</t>
        </is>
      </c>
      <c r="N43" s="25" t="inlineStr">
        <is>
          <t>N</t>
        </is>
      </c>
      <c r="O43" s="26" t="n"/>
      <c r="P43" s="26" t="inlineStr">
        <is>
          <t>REMAINDER_TO_REPACK</t>
        </is>
      </c>
      <c r="Q43" s="25" t="inlineStr">
        <is>
          <t>OK</t>
        </is>
      </c>
      <c r="R43" s="26" t="inlineStr">
        <is>
          <t>완박스를 표준박스로 매핑하지 않고 자체 출고 카톤으로 사용</t>
        </is>
      </c>
      <c r="S43" s="27" t="inlineStr">
        <is>
          <t>FBX084</t>
        </is>
      </c>
      <c r="T43" s="27" t="inlineStr">
        <is>
          <t>완박스 59x41x41</t>
        </is>
      </c>
      <c r="U43" s="27" t="inlineStr">
        <is>
          <t>Y</t>
        </is>
      </c>
      <c r="V43" s="27" t="inlineStr">
        <is>
          <t>FBG048</t>
        </is>
      </c>
    </row>
    <row r="44" ht="30" customHeight="1" s="42">
      <c r="A44" s="26" t="inlineStr">
        <is>
          <t>B201310</t>
        </is>
      </c>
      <c r="B44" s="26" t="inlineStr">
        <is>
          <t>레볼락스 서브큐</t>
        </is>
      </c>
      <c r="C44" s="24" t="n">
        <v>200</v>
      </c>
      <c r="D44" s="24" t="n">
        <v>59</v>
      </c>
      <c r="E44" s="24" t="n">
        <v>41</v>
      </c>
      <c r="F44" s="24" t="n">
        <v>41</v>
      </c>
      <c r="G44" s="60" t="n">
        <v>10.6</v>
      </c>
      <c r="H44" s="24" t="n">
        <v>1</v>
      </c>
      <c r="I44" s="25" t="inlineStr">
        <is>
          <t>Y</t>
        </is>
      </c>
      <c r="J44" s="26" t="inlineStr">
        <is>
          <t>완박스 정보.xlsx</t>
        </is>
      </c>
      <c r="K44" s="26" t="inlineStr">
        <is>
          <t>FBX084</t>
        </is>
      </c>
      <c r="L44" s="26" t="inlineStr">
        <is>
          <t>OWN_CARTON</t>
        </is>
      </c>
      <c r="M44" s="26" t="inlineStr">
        <is>
          <t>FULLBOX_CARTON</t>
        </is>
      </c>
      <c r="N44" s="25" t="inlineStr">
        <is>
          <t>N</t>
        </is>
      </c>
      <c r="O44" s="26" t="n"/>
      <c r="P44" s="26" t="inlineStr">
        <is>
          <t>REMAINDER_TO_REPACK</t>
        </is>
      </c>
      <c r="Q44" s="25" t="inlineStr">
        <is>
          <t>OK</t>
        </is>
      </c>
      <c r="R44" s="26" t="inlineStr">
        <is>
          <t>완박스를 표준박스로 매핑하지 않고 자체 출고 카톤으로 사용</t>
        </is>
      </c>
      <c r="S44" s="27" t="inlineStr">
        <is>
          <t>FBX084</t>
        </is>
      </c>
      <c r="T44" s="27" t="inlineStr">
        <is>
          <t>완박스 59x41x41</t>
        </is>
      </c>
      <c r="U44" s="27" t="inlineStr">
        <is>
          <t>Y</t>
        </is>
      </c>
      <c r="V44" s="27" t="inlineStr">
        <is>
          <t>FBG048</t>
        </is>
      </c>
    </row>
    <row r="45">
      <c r="A45" s="26" t="inlineStr">
        <is>
          <t>B201330</t>
        </is>
      </c>
      <c r="B45" s="26" t="inlineStr">
        <is>
          <t>레볼락스 파인</t>
        </is>
      </c>
      <c r="C45" s="24" t="n">
        <v>200</v>
      </c>
      <c r="D45" s="24" t="n">
        <v>59</v>
      </c>
      <c r="E45" s="24" t="n">
        <v>41</v>
      </c>
      <c r="F45" s="24" t="n">
        <v>41</v>
      </c>
      <c r="G45" s="60" t="n">
        <v>10.6</v>
      </c>
      <c r="H45" s="24" t="n">
        <v>1</v>
      </c>
      <c r="I45" s="25" t="inlineStr">
        <is>
          <t>Y</t>
        </is>
      </c>
      <c r="J45" s="26" t="inlineStr">
        <is>
          <t>완박스 정보.xlsx</t>
        </is>
      </c>
      <c r="K45" s="26" t="inlineStr">
        <is>
          <t>FBX084</t>
        </is>
      </c>
      <c r="L45" s="26" t="inlineStr">
        <is>
          <t>OWN_CARTON</t>
        </is>
      </c>
      <c r="M45" s="26" t="inlineStr">
        <is>
          <t>FULLBOX_CARTON</t>
        </is>
      </c>
      <c r="N45" s="25" t="inlineStr">
        <is>
          <t>N</t>
        </is>
      </c>
      <c r="O45" s="26" t="n"/>
      <c r="P45" s="26" t="inlineStr">
        <is>
          <t>REMAINDER_TO_REPACK</t>
        </is>
      </c>
      <c r="Q45" s="25" t="inlineStr">
        <is>
          <t>OK</t>
        </is>
      </c>
      <c r="R45" s="26" t="inlineStr">
        <is>
          <t>완박스를 표준박스로 매핑하지 않고 자체 출고 카톤으로 사용</t>
        </is>
      </c>
      <c r="S45" s="27" t="inlineStr">
        <is>
          <t>FBX084</t>
        </is>
      </c>
      <c r="T45" s="27" t="inlineStr">
        <is>
          <t>완박스 59x41x41</t>
        </is>
      </c>
      <c r="U45" s="27" t="inlineStr">
        <is>
          <t>Y</t>
        </is>
      </c>
      <c r="V45" s="27" t="inlineStr">
        <is>
          <t>FBG048</t>
        </is>
      </c>
    </row>
    <row r="46">
      <c r="A46" s="26" t="inlineStr">
        <is>
          <t>B100410</t>
        </is>
      </c>
      <c r="B46" s="26" t="inlineStr">
        <is>
          <t>리엔톡스100u</t>
        </is>
      </c>
      <c r="C46" s="24" t="n">
        <v>400</v>
      </c>
      <c r="D46" s="24" t="n">
        <v>49</v>
      </c>
      <c r="E46" s="24" t="n">
        <v>40</v>
      </c>
      <c r="F46" s="24" t="n">
        <v>31</v>
      </c>
      <c r="G46" s="60" t="n">
        <v>12.15</v>
      </c>
      <c r="H46" s="24" t="n">
        <v>1</v>
      </c>
      <c r="I46" s="25" t="inlineStr">
        <is>
          <t>Y</t>
        </is>
      </c>
      <c r="J46" s="26" t="inlineStr">
        <is>
          <t>완박스 정보.xlsx</t>
        </is>
      </c>
      <c r="K46" s="26" t="inlineStr">
        <is>
          <t>FBX059</t>
        </is>
      </c>
      <c r="L46" s="26" t="inlineStr">
        <is>
          <t>OWN_CARTON</t>
        </is>
      </c>
      <c r="M46" s="26" t="inlineStr">
        <is>
          <t>FULLBOX_CARTON</t>
        </is>
      </c>
      <c r="N46" s="25" t="inlineStr">
        <is>
          <t>N</t>
        </is>
      </c>
      <c r="O46" s="26" t="n"/>
      <c r="P46" s="26" t="inlineStr">
        <is>
          <t>REMAINDER_TO_REPACK</t>
        </is>
      </c>
      <c r="Q46" s="25" t="inlineStr">
        <is>
          <t>OK</t>
        </is>
      </c>
      <c r="R46" s="26" t="inlineStr">
        <is>
          <t>완박스를 표준박스로 매핑하지 않고 자체 출고 카톤으로 사용</t>
        </is>
      </c>
      <c r="S46" s="27" t="inlineStr">
        <is>
          <t>FBX059</t>
        </is>
      </c>
      <c r="T46" s="27" t="inlineStr">
        <is>
          <t>완박스 49x40x31</t>
        </is>
      </c>
      <c r="U46" s="27" t="inlineStr">
        <is>
          <t>Y</t>
        </is>
      </c>
      <c r="V46" s="27" t="inlineStr">
        <is>
          <t>FBG063</t>
        </is>
      </c>
    </row>
    <row r="47" ht="30" customHeight="1" s="42">
      <c r="A47" s="26" t="inlineStr">
        <is>
          <t>B100420</t>
        </is>
      </c>
      <c r="B47" s="26" t="inlineStr">
        <is>
          <t>리엔톡스200u</t>
        </is>
      </c>
      <c r="C47" s="24" t="n">
        <v>400</v>
      </c>
      <c r="D47" s="24" t="n">
        <v>49</v>
      </c>
      <c r="E47" s="24" t="n">
        <v>40</v>
      </c>
      <c r="F47" s="24" t="n">
        <v>31</v>
      </c>
      <c r="G47" s="60" t="n">
        <v>12.15</v>
      </c>
      <c r="H47" s="24" t="n">
        <v>1</v>
      </c>
      <c r="I47" s="25" t="inlineStr">
        <is>
          <t>Y</t>
        </is>
      </c>
      <c r="J47" s="26" t="inlineStr">
        <is>
          <t>완박스 정보.xlsx</t>
        </is>
      </c>
      <c r="K47" s="26" t="inlineStr">
        <is>
          <t>FBX059</t>
        </is>
      </c>
      <c r="L47" s="26" t="inlineStr">
        <is>
          <t>OWN_CARTON</t>
        </is>
      </c>
      <c r="M47" s="26" t="inlineStr">
        <is>
          <t>FULLBOX_CARTON</t>
        </is>
      </c>
      <c r="N47" s="25" t="inlineStr">
        <is>
          <t>N</t>
        </is>
      </c>
      <c r="O47" s="26" t="n"/>
      <c r="P47" s="26" t="inlineStr">
        <is>
          <t>REMAINDER_TO_REPACK</t>
        </is>
      </c>
      <c r="Q47" s="25" t="inlineStr">
        <is>
          <t>OK</t>
        </is>
      </c>
      <c r="R47" s="26" t="inlineStr">
        <is>
          <t>완박스를 표준박스로 매핑하지 않고 자체 출고 카톤으로 사용</t>
        </is>
      </c>
      <c r="S47" s="27" t="inlineStr">
        <is>
          <t>FBX059</t>
        </is>
      </c>
      <c r="T47" s="27" t="inlineStr">
        <is>
          <t>완박스 49x40x31</t>
        </is>
      </c>
      <c r="U47" s="27" t="inlineStr">
        <is>
          <t>Y</t>
        </is>
      </c>
      <c r="V47" s="27" t="inlineStr">
        <is>
          <t>FBG063</t>
        </is>
      </c>
    </row>
    <row r="48">
      <c r="A48" s="26" t="inlineStr">
        <is>
          <t>B201820</t>
        </is>
      </c>
      <c r="B48" s="26" t="inlineStr">
        <is>
          <t>리제니스 딥</t>
        </is>
      </c>
      <c r="C48" s="24" t="n">
        <v>100</v>
      </c>
      <c r="D48" s="24" t="n">
        <v>41</v>
      </c>
      <c r="E48" s="60" t="n">
        <v>32.5</v>
      </c>
      <c r="F48" s="24" t="n">
        <v>40</v>
      </c>
      <c r="G48" s="60" t="n">
        <v>5.5</v>
      </c>
      <c r="H48" s="24" t="n">
        <v>1</v>
      </c>
      <c r="I48" s="25" t="inlineStr">
        <is>
          <t>Y</t>
        </is>
      </c>
      <c r="J48" s="26" t="inlineStr">
        <is>
          <t>완박스 정보.xlsx</t>
        </is>
      </c>
      <c r="K48" s="26" t="inlineStr">
        <is>
          <t>FBX019</t>
        </is>
      </c>
      <c r="L48" s="26" t="inlineStr">
        <is>
          <t>OWN_CARTON</t>
        </is>
      </c>
      <c r="M48" s="26" t="inlineStr">
        <is>
          <t>FULLBOX_CARTON</t>
        </is>
      </c>
      <c r="N48" s="25" t="inlineStr">
        <is>
          <t>N</t>
        </is>
      </c>
      <c r="O48" s="26" t="n"/>
      <c r="P48" s="26" t="inlineStr">
        <is>
          <t>REMAINDER_TO_REPACK</t>
        </is>
      </c>
      <c r="Q48" s="25" t="inlineStr">
        <is>
          <t>OK</t>
        </is>
      </c>
      <c r="R48" s="26" t="inlineStr">
        <is>
          <t>완박스를 표준박스로 매핑하지 않고 자체 출고 카톤으로 사용</t>
        </is>
      </c>
      <c r="S48" s="27" t="inlineStr">
        <is>
          <t>FBX019</t>
        </is>
      </c>
      <c r="T48" s="27" t="inlineStr">
        <is>
          <t>완박스 41x32.5x40</t>
        </is>
      </c>
      <c r="U48" s="27" t="inlineStr">
        <is>
          <t>Y</t>
        </is>
      </c>
      <c r="V48" s="27" t="inlineStr">
        <is>
          <t>FBG010</t>
        </is>
      </c>
    </row>
    <row r="49">
      <c r="A49" s="26" t="inlineStr">
        <is>
          <t>B201810</t>
        </is>
      </c>
      <c r="B49" s="26" t="inlineStr">
        <is>
          <t>리제니스 쉐이프</t>
        </is>
      </c>
      <c r="C49" s="24" t="n">
        <v>100</v>
      </c>
      <c r="D49" s="24" t="n">
        <v>41</v>
      </c>
      <c r="E49" s="60" t="n">
        <v>32.5</v>
      </c>
      <c r="F49" s="24" t="n">
        <v>40</v>
      </c>
      <c r="G49" s="60" t="n">
        <v>5.5</v>
      </c>
      <c r="H49" s="24" t="n">
        <v>1</v>
      </c>
      <c r="I49" s="25" t="inlineStr">
        <is>
          <t>Y</t>
        </is>
      </c>
      <c r="J49" s="26" t="inlineStr">
        <is>
          <t>완박스 정보.xlsx</t>
        </is>
      </c>
      <c r="K49" s="26" t="inlineStr">
        <is>
          <t>FBX019</t>
        </is>
      </c>
      <c r="L49" s="26" t="inlineStr">
        <is>
          <t>OWN_CARTON</t>
        </is>
      </c>
      <c r="M49" s="26" t="inlineStr">
        <is>
          <t>FULLBOX_CARTON</t>
        </is>
      </c>
      <c r="N49" s="25" t="inlineStr">
        <is>
          <t>N</t>
        </is>
      </c>
      <c r="O49" s="26" t="n"/>
      <c r="P49" s="26" t="inlineStr">
        <is>
          <t>REMAINDER_TO_REPACK</t>
        </is>
      </c>
      <c r="Q49" s="25" t="inlineStr">
        <is>
          <t>OK</t>
        </is>
      </c>
      <c r="R49" s="26" t="inlineStr">
        <is>
          <t>완박스를 표준박스로 매핑하지 않고 자체 출고 카톤으로 사용</t>
        </is>
      </c>
      <c r="S49" s="27" t="inlineStr">
        <is>
          <t>FBX019</t>
        </is>
      </c>
      <c r="T49" s="27" t="inlineStr">
        <is>
          <t>완박스 41x32.5x40</t>
        </is>
      </c>
      <c r="U49" s="27" t="inlineStr">
        <is>
          <t>Y</t>
        </is>
      </c>
      <c r="V49" s="27" t="inlineStr">
        <is>
          <t>FBG010</t>
        </is>
      </c>
    </row>
    <row r="50">
      <c r="A50" s="26" t="inlineStr">
        <is>
          <t>B201910</t>
        </is>
      </c>
      <c r="B50" s="26" t="inlineStr">
        <is>
          <t>리제니스 스파클</t>
        </is>
      </c>
      <c r="C50" s="24" t="n">
        <v>40</v>
      </c>
      <c r="D50" s="24" t="n">
        <v>41</v>
      </c>
      <c r="E50" s="60" t="n">
        <v>32.5</v>
      </c>
      <c r="F50" s="24" t="n">
        <v>40</v>
      </c>
      <c r="G50" s="60" t="n">
        <v>5.5</v>
      </c>
      <c r="H50" s="24" t="n">
        <v>1</v>
      </c>
      <c r="I50" s="25" t="inlineStr">
        <is>
          <t>Y</t>
        </is>
      </c>
      <c r="J50" s="26" t="inlineStr">
        <is>
          <t>완박스 정보.xlsx</t>
        </is>
      </c>
      <c r="K50" s="26" t="inlineStr">
        <is>
          <t>FBX019</t>
        </is>
      </c>
      <c r="L50" s="26" t="inlineStr">
        <is>
          <t>OWN_CARTON</t>
        </is>
      </c>
      <c r="M50" s="26" t="inlineStr">
        <is>
          <t>FULLBOX_CARTON</t>
        </is>
      </c>
      <c r="N50" s="25" t="inlineStr">
        <is>
          <t>N</t>
        </is>
      </c>
      <c r="O50" s="26" t="n"/>
      <c r="P50" s="26" t="inlineStr">
        <is>
          <t>REMAINDER_TO_REPACK</t>
        </is>
      </c>
      <c r="Q50" s="25" t="inlineStr">
        <is>
          <t>OK</t>
        </is>
      </c>
      <c r="R50" s="26" t="inlineStr">
        <is>
          <t>완박스를 표준박스로 매핑하지 않고 자체 출고 카톤으로 사용</t>
        </is>
      </c>
      <c r="S50" s="27" t="inlineStr">
        <is>
          <t>FBX019</t>
        </is>
      </c>
      <c r="T50" s="27" t="inlineStr">
        <is>
          <t>완박스 41x32.5x40</t>
        </is>
      </c>
      <c r="U50" s="27" t="inlineStr">
        <is>
          <t>Y</t>
        </is>
      </c>
      <c r="V50" s="27" t="inlineStr">
        <is>
          <t>FBG010</t>
        </is>
      </c>
    </row>
    <row r="51">
      <c r="A51" s="26" t="inlineStr">
        <is>
          <t>B201830</t>
        </is>
      </c>
      <c r="B51" s="26" t="inlineStr">
        <is>
          <t>리제니스 파인</t>
        </is>
      </c>
      <c r="C51" s="24" t="n">
        <v>100</v>
      </c>
      <c r="D51" s="24" t="n">
        <v>41</v>
      </c>
      <c r="E51" s="60" t="n">
        <v>32.5</v>
      </c>
      <c r="F51" s="24" t="n">
        <v>40</v>
      </c>
      <c r="G51" s="60" t="n">
        <v>5.5</v>
      </c>
      <c r="H51" s="24" t="n">
        <v>1</v>
      </c>
      <c r="I51" s="25" t="inlineStr">
        <is>
          <t>Y</t>
        </is>
      </c>
      <c r="J51" s="26" t="inlineStr">
        <is>
          <t>완박스 정보.xlsx</t>
        </is>
      </c>
      <c r="K51" s="26" t="inlineStr">
        <is>
          <t>FBX019</t>
        </is>
      </c>
      <c r="L51" s="26" t="inlineStr">
        <is>
          <t>OWN_CARTON</t>
        </is>
      </c>
      <c r="M51" s="26" t="inlineStr">
        <is>
          <t>FULLBOX_CARTON</t>
        </is>
      </c>
      <c r="N51" s="25" t="inlineStr">
        <is>
          <t>N</t>
        </is>
      </c>
      <c r="O51" s="26" t="n"/>
      <c r="P51" s="26" t="inlineStr">
        <is>
          <t>REMAINDER_TO_REPACK</t>
        </is>
      </c>
      <c r="Q51" s="25" t="inlineStr">
        <is>
          <t>OK</t>
        </is>
      </c>
      <c r="R51" s="26" t="inlineStr">
        <is>
          <t>완박스를 표준박스로 매핑하지 않고 자체 출고 카톤으로 사용</t>
        </is>
      </c>
      <c r="S51" s="27" t="inlineStr">
        <is>
          <t>FBX019</t>
        </is>
      </c>
      <c r="T51" s="27" t="inlineStr">
        <is>
          <t>완박스 41x32.5x40</t>
        </is>
      </c>
      <c r="U51" s="27" t="inlineStr">
        <is>
          <t>Y</t>
        </is>
      </c>
      <c r="V51" s="27" t="inlineStr">
        <is>
          <t>FBG010</t>
        </is>
      </c>
    </row>
    <row r="52">
      <c r="A52" s="26" t="inlineStr">
        <is>
          <t>B302430</t>
        </is>
      </c>
      <c r="B52" s="26" t="inlineStr">
        <is>
          <t>리쥬란 리커버리크림</t>
        </is>
      </c>
      <c r="C52" s="24" t="n">
        <v>100</v>
      </c>
      <c r="D52" s="24" t="n">
        <v>41</v>
      </c>
      <c r="E52" s="24" t="n">
        <v>37</v>
      </c>
      <c r="F52" s="24" t="n">
        <v>17</v>
      </c>
      <c r="G52" s="60" t="n">
        <v>7.9</v>
      </c>
      <c r="H52" s="24" t="n">
        <v>1</v>
      </c>
      <c r="I52" s="25" t="inlineStr">
        <is>
          <t>Y</t>
        </is>
      </c>
      <c r="J52" s="26" t="inlineStr">
        <is>
          <t>완박스 정보.xlsx</t>
        </is>
      </c>
      <c r="K52" s="26" t="inlineStr">
        <is>
          <t>FBX021</t>
        </is>
      </c>
      <c r="L52" s="26" t="inlineStr">
        <is>
          <t>OWN_CARTON</t>
        </is>
      </c>
      <c r="M52" s="26" t="inlineStr">
        <is>
          <t>FULLBOX_CARTON</t>
        </is>
      </c>
      <c r="N52" s="25" t="inlineStr">
        <is>
          <t>N</t>
        </is>
      </c>
      <c r="O52" s="26" t="n"/>
      <c r="P52" s="26" t="inlineStr">
        <is>
          <t>REMAINDER_TO_REPACK</t>
        </is>
      </c>
      <c r="Q52" s="25" t="inlineStr">
        <is>
          <t>OK</t>
        </is>
      </c>
      <c r="R52" s="26" t="inlineStr">
        <is>
          <t>완박스를 표준박스로 매핑하지 않고 자체 출고 카톤으로 사용</t>
        </is>
      </c>
      <c r="S52" s="27" t="inlineStr">
        <is>
          <t>FBX021</t>
        </is>
      </c>
      <c r="T52" s="27" t="inlineStr">
        <is>
          <t>완박스 41x37x17</t>
        </is>
      </c>
      <c r="U52" s="27" t="inlineStr">
        <is>
          <t>Y</t>
        </is>
      </c>
      <c r="V52" s="27" t="inlineStr">
        <is>
          <t>FBG011</t>
        </is>
      </c>
    </row>
    <row r="53" ht="30" customHeight="1" s="42">
      <c r="A53" s="26" t="inlineStr">
        <is>
          <t>B302130</t>
        </is>
      </c>
      <c r="B53" s="26" t="inlineStr">
        <is>
          <t>리쥬란 엘라스킨</t>
        </is>
      </c>
      <c r="C53" s="24" t="n">
        <v>50</v>
      </c>
      <c r="D53" s="60" t="n">
        <v>61.5</v>
      </c>
      <c r="E53" s="60" t="n">
        <v>51.5</v>
      </c>
      <c r="F53" s="24" t="n">
        <v>22</v>
      </c>
      <c r="G53" s="60" t="n">
        <v>8.699999999999999</v>
      </c>
      <c r="H53" s="24" t="n">
        <v>1</v>
      </c>
      <c r="I53" s="25" t="inlineStr">
        <is>
          <t>Y</t>
        </is>
      </c>
      <c r="J53" s="26" t="inlineStr">
        <is>
          <t>완박스 정보.xlsx</t>
        </is>
      </c>
      <c r="K53" s="26" t="inlineStr">
        <is>
          <t>FBX090</t>
        </is>
      </c>
      <c r="L53" s="26" t="inlineStr">
        <is>
          <t>OWN_CARTON</t>
        </is>
      </c>
      <c r="M53" s="26" t="inlineStr">
        <is>
          <t>FULLBOX_CARTON</t>
        </is>
      </c>
      <c r="N53" s="25" t="inlineStr">
        <is>
          <t>N</t>
        </is>
      </c>
      <c r="O53" s="26" t="n"/>
      <c r="P53" s="26" t="inlineStr">
        <is>
          <t>REMAINDER_TO_REPACK</t>
        </is>
      </c>
      <c r="Q53" s="25" t="inlineStr">
        <is>
          <t>OK</t>
        </is>
      </c>
      <c r="R53" s="26" t="inlineStr">
        <is>
          <t>완박스를 표준박스로 매핑하지 않고 자체 출고 카톤으로 사용</t>
        </is>
      </c>
      <c r="S53" s="27" t="inlineStr">
        <is>
          <t>FBX090</t>
        </is>
      </c>
      <c r="T53" s="27" t="inlineStr">
        <is>
          <t>완박스 61.5x51.5x22</t>
        </is>
      </c>
      <c r="U53" s="27" t="inlineStr">
        <is>
          <t>Y</t>
        </is>
      </c>
      <c r="V53" s="27" t="inlineStr">
        <is>
          <t>FBG086</t>
        </is>
      </c>
    </row>
    <row r="54">
      <c r="A54" s="26" t="inlineStr">
        <is>
          <t>B302135</t>
        </is>
      </c>
      <c r="B54" s="26" t="inlineStr">
        <is>
          <t>리쥬란 엘라스킨 (신)</t>
        </is>
      </c>
      <c r="C54" s="24" t="n">
        <v>50</v>
      </c>
      <c r="D54" s="24" t="n">
        <v>50</v>
      </c>
      <c r="E54" s="24" t="n">
        <v>48</v>
      </c>
      <c r="F54" s="24" t="n">
        <v>31</v>
      </c>
      <c r="G54" s="60" t="n">
        <v>8.1</v>
      </c>
      <c r="H54" s="24" t="n">
        <v>1</v>
      </c>
      <c r="I54" s="25" t="inlineStr">
        <is>
          <t>Y</t>
        </is>
      </c>
      <c r="J54" s="26" t="inlineStr">
        <is>
          <t>완박스 정보.xlsx</t>
        </is>
      </c>
      <c r="K54" s="26" t="inlineStr">
        <is>
          <t>FBX062</t>
        </is>
      </c>
      <c r="L54" s="26" t="inlineStr">
        <is>
          <t>OWN_CARTON</t>
        </is>
      </c>
      <c r="M54" s="26" t="inlineStr">
        <is>
          <t>FULLBOX_CARTON</t>
        </is>
      </c>
      <c r="N54" s="25" t="inlineStr">
        <is>
          <t>N</t>
        </is>
      </c>
      <c r="O54" s="26" t="n"/>
      <c r="P54" s="26" t="inlineStr">
        <is>
          <t>REMAINDER_TO_REPACK</t>
        </is>
      </c>
      <c r="Q54" s="25" t="inlineStr">
        <is>
          <t>OK</t>
        </is>
      </c>
      <c r="R54" s="26" t="inlineStr">
        <is>
          <t>완박스를 표준박스로 매핑하지 않고 자체 출고 카톤으로 사용</t>
        </is>
      </c>
      <c r="S54" s="27" t="inlineStr">
        <is>
          <t>FBX062</t>
        </is>
      </c>
      <c r="T54" s="27" t="inlineStr">
        <is>
          <t>완박스 50x48x31</t>
        </is>
      </c>
      <c r="U54" s="27" t="inlineStr">
        <is>
          <t>Y</t>
        </is>
      </c>
      <c r="V54" s="27" t="inlineStr">
        <is>
          <t>FBG082</t>
        </is>
      </c>
    </row>
    <row r="55">
      <c r="A55" s="26" t="inlineStr">
        <is>
          <t>B302421</t>
        </is>
      </c>
      <c r="B55" s="26" t="inlineStr">
        <is>
          <t>리쥬란 톤업마스크</t>
        </is>
      </c>
      <c r="C55" s="24" t="n">
        <v>30</v>
      </c>
      <c r="D55" s="24" t="n">
        <v>32</v>
      </c>
      <c r="E55" s="24" t="n">
        <v>31</v>
      </c>
      <c r="F55" s="24" t="n">
        <v>20</v>
      </c>
      <c r="G55" s="60" t="n">
        <v>8.300000000000001</v>
      </c>
      <c r="H55" s="24" t="n">
        <v>1</v>
      </c>
      <c r="I55" s="25" t="inlineStr">
        <is>
          <t>Y</t>
        </is>
      </c>
      <c r="J55" s="26" t="inlineStr">
        <is>
          <t>완박스 정보.xlsx</t>
        </is>
      </c>
      <c r="K55" s="26" t="inlineStr">
        <is>
          <t>FBX001</t>
        </is>
      </c>
      <c r="L55" s="26" t="inlineStr">
        <is>
          <t>OWN_CARTON</t>
        </is>
      </c>
      <c r="M55" s="26" t="inlineStr">
        <is>
          <t>FULLBOX_CARTON</t>
        </is>
      </c>
      <c r="N55" s="25" t="inlineStr">
        <is>
          <t>N</t>
        </is>
      </c>
      <c r="O55" s="26" t="n"/>
      <c r="P55" s="26" t="inlineStr">
        <is>
          <t>REMAINDER_TO_REPACK</t>
        </is>
      </c>
      <c r="Q55" s="25" t="inlineStr">
        <is>
          <t>OK</t>
        </is>
      </c>
      <c r="R55" s="26" t="inlineStr">
        <is>
          <t>완박스를 표준박스로 매핑하지 않고 자체 출고 카톤으로 사용</t>
        </is>
      </c>
      <c r="S55" s="27" t="inlineStr">
        <is>
          <t>FBX001</t>
        </is>
      </c>
      <c r="T55" s="27" t="inlineStr">
        <is>
          <t>완박스 32x31x20</t>
        </is>
      </c>
      <c r="U55" s="27" t="inlineStr">
        <is>
          <t>Y</t>
        </is>
      </c>
      <c r="V55" s="27" t="inlineStr">
        <is>
          <t>FBG052</t>
        </is>
      </c>
    </row>
    <row r="56">
      <c r="A56" s="26" t="inlineStr">
        <is>
          <t>B302420</t>
        </is>
      </c>
      <c r="B56" s="26" t="inlineStr">
        <is>
          <t>리쥬란 톤업마스크 (중문)</t>
        </is>
      </c>
      <c r="C56" s="24" t="n">
        <v>30</v>
      </c>
      <c r="D56" s="24" t="n">
        <v>32</v>
      </c>
      <c r="E56" s="24" t="n">
        <v>31</v>
      </c>
      <c r="F56" s="24" t="n">
        <v>20</v>
      </c>
      <c r="G56" s="60" t="n">
        <v>8.300000000000001</v>
      </c>
      <c r="H56" s="24" t="n">
        <v>1</v>
      </c>
      <c r="I56" s="25" t="inlineStr">
        <is>
          <t>Y</t>
        </is>
      </c>
      <c r="J56" s="26" t="inlineStr">
        <is>
          <t>완박스 정보.xlsx</t>
        </is>
      </c>
      <c r="K56" s="26" t="inlineStr">
        <is>
          <t>FBX001</t>
        </is>
      </c>
      <c r="L56" s="26" t="inlineStr">
        <is>
          <t>OWN_CARTON</t>
        </is>
      </c>
      <c r="M56" s="26" t="inlineStr">
        <is>
          <t>FULLBOX_CARTON</t>
        </is>
      </c>
      <c r="N56" s="25" t="inlineStr">
        <is>
          <t>N</t>
        </is>
      </c>
      <c r="O56" s="26" t="n"/>
      <c r="P56" s="26" t="inlineStr">
        <is>
          <t>REMAINDER_TO_REPACK</t>
        </is>
      </c>
      <c r="Q56" s="25" t="inlineStr">
        <is>
          <t>OK</t>
        </is>
      </c>
      <c r="R56" s="26" t="inlineStr">
        <is>
          <t>완박스를 표준박스로 매핑하지 않고 자체 출고 카톤으로 사용</t>
        </is>
      </c>
      <c r="S56" s="27" t="inlineStr">
        <is>
          <t>FBX001</t>
        </is>
      </c>
      <c r="T56" s="27" t="inlineStr">
        <is>
          <t>완박스 32x31x20</t>
        </is>
      </c>
      <c r="U56" s="27" t="inlineStr">
        <is>
          <t>Y</t>
        </is>
      </c>
      <c r="V56" s="27" t="inlineStr">
        <is>
          <t>FBG052</t>
        </is>
      </c>
    </row>
    <row r="57">
      <c r="A57" s="26" t="inlineStr">
        <is>
          <t>B302020</t>
        </is>
      </c>
      <c r="B57" s="26" t="inlineStr">
        <is>
          <t>리쥬란 톤업부스터</t>
        </is>
      </c>
      <c r="C57" s="24" t="n">
        <v>40</v>
      </c>
      <c r="D57" s="60" t="n">
        <v>58.5</v>
      </c>
      <c r="E57" s="24" t="n">
        <v>35</v>
      </c>
      <c r="F57" s="24" t="n">
        <v>27</v>
      </c>
      <c r="G57" s="60" t="n">
        <v>9.800000000000001</v>
      </c>
      <c r="H57" s="24" t="n">
        <v>1</v>
      </c>
      <c r="I57" s="25" t="inlineStr">
        <is>
          <t>Y</t>
        </is>
      </c>
      <c r="J57" s="26" t="inlineStr">
        <is>
          <t>완박스 정보.xlsx</t>
        </is>
      </c>
      <c r="K57" s="26" t="inlineStr">
        <is>
          <t>FBX078</t>
        </is>
      </c>
      <c r="L57" s="26" t="inlineStr">
        <is>
          <t>OWN_CARTON</t>
        </is>
      </c>
      <c r="M57" s="26" t="inlineStr">
        <is>
          <t>FULLBOX_CARTON</t>
        </is>
      </c>
      <c r="N57" s="25" t="inlineStr">
        <is>
          <t>N</t>
        </is>
      </c>
      <c r="O57" s="26" t="n"/>
      <c r="P57" s="26" t="inlineStr">
        <is>
          <t>REMAINDER_TO_REPACK</t>
        </is>
      </c>
      <c r="Q57" s="25" t="inlineStr">
        <is>
          <t>OK</t>
        </is>
      </c>
      <c r="R57" s="26" t="inlineStr">
        <is>
          <t>완박스를 표준박스로 매핑하지 않고 자체 출고 카톤으로 사용</t>
        </is>
      </c>
      <c r="S57" s="27" t="inlineStr">
        <is>
          <t>FBX078</t>
        </is>
      </c>
      <c r="T57" s="27" t="inlineStr">
        <is>
          <t>완박스 58.5x35x27</t>
        </is>
      </c>
      <c r="U57" s="27" t="inlineStr">
        <is>
          <t>Y</t>
        </is>
      </c>
      <c r="V57" s="27" t="inlineStr">
        <is>
          <t>FBG061</t>
        </is>
      </c>
    </row>
    <row r="58">
      <c r="A58" s="26" t="inlineStr">
        <is>
          <t>B302100</t>
        </is>
      </c>
      <c r="B58" s="26" t="inlineStr">
        <is>
          <t>리쥬란 힐러 2.7cc</t>
        </is>
      </c>
      <c r="C58" s="24" t="n">
        <v>50</v>
      </c>
      <c r="D58" s="24" t="n">
        <v>58</v>
      </c>
      <c r="E58" s="24" t="n">
        <v>48</v>
      </c>
      <c r="F58" s="24" t="n">
        <v>26</v>
      </c>
      <c r="G58" s="60" t="n">
        <v>8.4</v>
      </c>
      <c r="H58" s="24" t="n">
        <v>1</v>
      </c>
      <c r="I58" s="25" t="inlineStr">
        <is>
          <t>Y</t>
        </is>
      </c>
      <c r="J58" s="26" t="inlineStr">
        <is>
          <t>완박스 정보.xlsx</t>
        </is>
      </c>
      <c r="K58" s="26" t="inlineStr">
        <is>
          <t>FBX077</t>
        </is>
      </c>
      <c r="L58" s="26" t="inlineStr">
        <is>
          <t>OWN_CARTON</t>
        </is>
      </c>
      <c r="M58" s="26" t="inlineStr">
        <is>
          <t>FULLBOX_CARTON</t>
        </is>
      </c>
      <c r="N58" s="25" t="inlineStr">
        <is>
          <t>N</t>
        </is>
      </c>
      <c r="O58" s="26" t="n"/>
      <c r="P58" s="26" t="inlineStr">
        <is>
          <t>REMAINDER_TO_REPACK</t>
        </is>
      </c>
      <c r="Q58" s="25" t="inlineStr">
        <is>
          <t>OK</t>
        </is>
      </c>
      <c r="R58" s="26" t="inlineStr">
        <is>
          <t>완박스를 표준박스로 매핑하지 않고 자체 출고 카톤으로 사용</t>
        </is>
      </c>
      <c r="S58" s="27" t="inlineStr">
        <is>
          <t>FBX077</t>
        </is>
      </c>
      <c r="T58" s="27" t="inlineStr">
        <is>
          <t>완박스 58x48x26</t>
        </is>
      </c>
      <c r="U58" s="27" t="inlineStr">
        <is>
          <t>Y</t>
        </is>
      </c>
      <c r="V58" s="27" t="inlineStr">
        <is>
          <t>FBG084</t>
        </is>
      </c>
    </row>
    <row r="59">
      <c r="A59" s="26" t="inlineStr">
        <is>
          <t>B302120</t>
        </is>
      </c>
      <c r="B59" s="26" t="inlineStr">
        <is>
          <t>리쥬란 힐러 트루스킨</t>
        </is>
      </c>
      <c r="C59" s="24" t="n">
        <v>50</v>
      </c>
      <c r="D59" s="24" t="n">
        <v>50</v>
      </c>
      <c r="E59" s="24" t="n">
        <v>48</v>
      </c>
      <c r="F59" s="60" t="n">
        <v>30.5</v>
      </c>
      <c r="G59" s="60" t="n">
        <v>8.550000000000001</v>
      </c>
      <c r="H59" s="24" t="n">
        <v>1</v>
      </c>
      <c r="I59" s="25" t="inlineStr">
        <is>
          <t>Y</t>
        </is>
      </c>
      <c r="J59" s="26" t="inlineStr">
        <is>
          <t>완박스 정보.xlsx</t>
        </is>
      </c>
      <c r="K59" s="26" t="inlineStr">
        <is>
          <t>FBX061</t>
        </is>
      </c>
      <c r="L59" s="26" t="inlineStr">
        <is>
          <t>OWN_CARTON</t>
        </is>
      </c>
      <c r="M59" s="26" t="inlineStr">
        <is>
          <t>FULLBOX_CARTON</t>
        </is>
      </c>
      <c r="N59" s="25" t="inlineStr">
        <is>
          <t>N</t>
        </is>
      </c>
      <c r="O59" s="26" t="n"/>
      <c r="P59" s="26" t="inlineStr">
        <is>
          <t>REMAINDER_TO_REPACK</t>
        </is>
      </c>
      <c r="Q59" s="25" t="inlineStr">
        <is>
          <t>OK</t>
        </is>
      </c>
      <c r="R59" s="26" t="inlineStr">
        <is>
          <t>완박스를 표준박스로 매핑하지 않고 자체 출고 카톤으로 사용</t>
        </is>
      </c>
      <c r="S59" s="27" t="inlineStr">
        <is>
          <t>FBX061</t>
        </is>
      </c>
      <c r="T59" s="27" t="inlineStr">
        <is>
          <t>완박스 50x48x30.5</t>
        </is>
      </c>
      <c r="U59" s="27" t="inlineStr">
        <is>
          <t>Y</t>
        </is>
      </c>
      <c r="V59" s="27" t="inlineStr">
        <is>
          <t>FBG082</t>
        </is>
      </c>
    </row>
    <row r="60">
      <c r="A60" s="26" t="inlineStr">
        <is>
          <t>B302230</t>
        </is>
      </c>
      <c r="B60" s="26" t="inlineStr">
        <is>
          <t>리쥬란S</t>
        </is>
      </c>
      <c r="C60" s="24" t="n">
        <v>120</v>
      </c>
      <c r="D60" s="24" t="n">
        <v>63</v>
      </c>
      <c r="E60" s="24" t="n">
        <v>43</v>
      </c>
      <c r="F60" s="24" t="n">
        <v>27</v>
      </c>
      <c r="G60" s="60" t="n">
        <v>6.45</v>
      </c>
      <c r="H60" s="24" t="n">
        <v>1</v>
      </c>
      <c r="I60" s="25" t="inlineStr">
        <is>
          <t>Y</t>
        </is>
      </c>
      <c r="J60" s="26" t="inlineStr">
        <is>
          <t>완박스 정보.xlsx</t>
        </is>
      </c>
      <c r="K60" s="26" t="inlineStr">
        <is>
          <t>FBX091</t>
        </is>
      </c>
      <c r="L60" s="26" t="inlineStr">
        <is>
          <t>OWN_CARTON</t>
        </is>
      </c>
      <c r="M60" s="26" t="inlineStr">
        <is>
          <t>FULLBOX_CARTON</t>
        </is>
      </c>
      <c r="N60" s="25" t="inlineStr">
        <is>
          <t>N</t>
        </is>
      </c>
      <c r="O60" s="26" t="n"/>
      <c r="P60" s="26" t="inlineStr">
        <is>
          <t>REMAINDER_TO_REPACK</t>
        </is>
      </c>
      <c r="Q60" s="25" t="inlineStr">
        <is>
          <t>OK</t>
        </is>
      </c>
      <c r="R60" s="26" t="inlineStr">
        <is>
          <t>완박스를 표준박스로 매핑하지 않고 자체 출고 카톤으로 사용</t>
        </is>
      </c>
      <c r="S60" s="27" t="inlineStr">
        <is>
          <t>FBX091</t>
        </is>
      </c>
      <c r="T60" s="27" t="inlineStr">
        <is>
          <t>완박스 63x43x27</t>
        </is>
      </c>
      <c r="U60" s="27" t="inlineStr">
        <is>
          <t>Y</t>
        </is>
      </c>
      <c r="V60" s="27" t="inlineStr">
        <is>
          <t>FBG035</t>
        </is>
      </c>
    </row>
    <row r="61">
      <c r="A61" s="22" t="inlineStr">
        <is>
          <t>A300710</t>
        </is>
      </c>
      <c r="B61" s="22" t="inlineStr">
        <is>
          <t>리체스 B</t>
        </is>
      </c>
      <c r="C61" s="23" t="n">
        <v>50</v>
      </c>
      <c r="D61" s="23" t="n">
        <v>40</v>
      </c>
      <c r="E61" s="23" t="n">
        <v>25</v>
      </c>
      <c r="F61" s="23" t="n">
        <v>38.5</v>
      </c>
      <c r="G61" s="23" t="n">
        <v>4.32</v>
      </c>
      <c r="H61" s="24" t="n">
        <v>1</v>
      </c>
      <c r="I61" s="25" t="inlineStr">
        <is>
          <t>Y</t>
        </is>
      </c>
      <c r="J61" s="26" t="inlineStr">
        <is>
          <t>완박스 정보.xlsx</t>
        </is>
      </c>
      <c r="K61" s="22" t="inlineStr">
        <is>
          <t>FBX101</t>
        </is>
      </c>
      <c r="L61" s="26" t="inlineStr">
        <is>
          <t>OWN_CARTON</t>
        </is>
      </c>
      <c r="M61" s="26" t="inlineStr">
        <is>
          <t>FULLBOX_CARTON</t>
        </is>
      </c>
      <c r="N61" s="25" t="inlineStr">
        <is>
          <t>N</t>
        </is>
      </c>
      <c r="O61" s="22" t="n"/>
      <c r="P61" s="26" t="inlineStr">
        <is>
          <t>REMAINDER_TO_REPACK</t>
        </is>
      </c>
      <c r="Q61" s="25" t="inlineStr">
        <is>
          <t>OK</t>
        </is>
      </c>
      <c r="R61" s="26" t="inlineStr">
        <is>
          <t>완박스를 표준박스로 매핑하지 않고 자체 출고 카톤으로 사용</t>
        </is>
      </c>
      <c r="S61" s="22" t="inlineStr">
        <is>
          <t>FBX101</t>
        </is>
      </c>
      <c r="T61" s="22" t="inlineStr">
        <is>
          <t>완박스 40x25x38.5</t>
        </is>
      </c>
      <c r="U61" s="27" t="inlineStr">
        <is>
          <t>Y</t>
        </is>
      </c>
      <c r="V61" s="22" t="inlineStr">
        <is>
          <t>FBG101</t>
        </is>
      </c>
    </row>
    <row r="62">
      <c r="A62" s="26" t="inlineStr">
        <is>
          <t>A200490</t>
        </is>
      </c>
      <c r="B62" s="26" t="inlineStr">
        <is>
          <t>리체스 젠슬림</t>
        </is>
      </c>
      <c r="C62" s="24" t="n">
        <v>99</v>
      </c>
      <c r="D62" s="24" t="n">
        <v>48</v>
      </c>
      <c r="E62" s="24" t="n">
        <v>39</v>
      </c>
      <c r="F62" s="24" t="n">
        <v>34</v>
      </c>
      <c r="G62" s="60" t="n">
        <v>22.15</v>
      </c>
      <c r="H62" s="24" t="n">
        <v>1</v>
      </c>
      <c r="I62" s="25" t="inlineStr">
        <is>
          <t>Y</t>
        </is>
      </c>
      <c r="J62" s="26" t="inlineStr">
        <is>
          <t>완박스 정보.xlsx</t>
        </is>
      </c>
      <c r="K62" s="26" t="inlineStr">
        <is>
          <t>FBX055</t>
        </is>
      </c>
      <c r="L62" s="26" t="inlineStr">
        <is>
          <t>OWN_CARTON</t>
        </is>
      </c>
      <c r="M62" s="26" t="inlineStr">
        <is>
          <t>FULLBOX_CARTON</t>
        </is>
      </c>
      <c r="N62" s="25" t="inlineStr">
        <is>
          <t>N</t>
        </is>
      </c>
      <c r="O62" s="26" t="n"/>
      <c r="P62" s="26" t="inlineStr">
        <is>
          <t>REMAINDER_TO_REPACK</t>
        </is>
      </c>
      <c r="Q62" s="25" t="inlineStr">
        <is>
          <t>OK</t>
        </is>
      </c>
      <c r="R62" s="26" t="inlineStr">
        <is>
          <t>완박스를 표준박스로 매핑하지 않고 자체 출고 카톤으로 사용</t>
        </is>
      </c>
      <c r="S62" s="27" t="inlineStr">
        <is>
          <t>FBX055</t>
        </is>
      </c>
      <c r="T62" s="27" t="inlineStr">
        <is>
          <t>완박스 48x39x34</t>
        </is>
      </c>
      <c r="U62" s="27" t="inlineStr">
        <is>
          <t>Y</t>
        </is>
      </c>
      <c r="V62" s="27" t="inlineStr">
        <is>
          <t>FBG095</t>
        </is>
      </c>
    </row>
    <row r="63">
      <c r="A63" s="26" t="inlineStr">
        <is>
          <t>A200520</t>
        </is>
      </c>
      <c r="B63" s="26" t="inlineStr">
        <is>
          <t>리체스 엑소19</t>
        </is>
      </c>
      <c r="C63" s="24" t="n">
        <v>60</v>
      </c>
      <c r="D63" s="24" t="n">
        <v>53</v>
      </c>
      <c r="E63" s="24" t="n">
        <v>34</v>
      </c>
      <c r="F63" s="24" t="n">
        <v>21</v>
      </c>
      <c r="G63" s="60" t="n">
        <v>3.8</v>
      </c>
      <c r="H63" s="24" t="n">
        <v>1</v>
      </c>
      <c r="I63" s="25" t="inlineStr">
        <is>
          <t>Y</t>
        </is>
      </c>
      <c r="J63" s="26" t="inlineStr">
        <is>
          <t>완박스 정보.xlsx</t>
        </is>
      </c>
      <c r="K63" s="26" t="inlineStr">
        <is>
          <t>FBX066</t>
        </is>
      </c>
      <c r="L63" s="26" t="inlineStr">
        <is>
          <t>OWN_CARTON</t>
        </is>
      </c>
      <c r="M63" s="26" t="inlineStr">
        <is>
          <t>FULLBOX_CARTON</t>
        </is>
      </c>
      <c r="N63" s="25" t="inlineStr">
        <is>
          <t>N</t>
        </is>
      </c>
      <c r="O63" s="26" t="n"/>
      <c r="P63" s="26" t="inlineStr">
        <is>
          <t>REMAINDER_TO_REPACK</t>
        </is>
      </c>
      <c r="Q63" s="25" t="inlineStr">
        <is>
          <t>OK</t>
        </is>
      </c>
      <c r="R63" s="26" t="inlineStr">
        <is>
          <t>완박스를 표준박스로 매핑하지 않고 자체 출고 카톤으로 사용</t>
        </is>
      </c>
      <c r="S63" s="27" t="inlineStr">
        <is>
          <t>FBX066</t>
        </is>
      </c>
      <c r="T63" s="27" t="inlineStr">
        <is>
          <t>완박스 53x34x21</t>
        </is>
      </c>
      <c r="U63" s="27" t="inlineStr">
        <is>
          <t>Y</t>
        </is>
      </c>
      <c r="V63" s="27" t="inlineStr">
        <is>
          <t>FBG090</t>
        </is>
      </c>
    </row>
    <row r="64">
      <c r="A64" s="26" t="inlineStr">
        <is>
          <t>A200485</t>
        </is>
      </c>
      <c r="B64" s="26" t="inlineStr">
        <is>
          <t>리체스 에프앤비</t>
        </is>
      </c>
      <c r="C64" s="24" t="n">
        <v>50</v>
      </c>
      <c r="D64" s="24" t="n">
        <v>57</v>
      </c>
      <c r="E64" s="24" t="n">
        <v>28</v>
      </c>
      <c r="F64" s="60" t="n">
        <v>15.5</v>
      </c>
      <c r="G64" s="60" t="n">
        <v>8.5</v>
      </c>
      <c r="H64" s="24" t="n">
        <v>1</v>
      </c>
      <c r="I64" s="25" t="inlineStr">
        <is>
          <t>Y</t>
        </is>
      </c>
      <c r="J64" s="26" t="inlineStr">
        <is>
          <t>완박스 정보.xlsx</t>
        </is>
      </c>
      <c r="K64" s="26" t="inlineStr">
        <is>
          <t>FBX076</t>
        </is>
      </c>
      <c r="L64" s="26" t="inlineStr">
        <is>
          <t>OWN_CARTON</t>
        </is>
      </c>
      <c r="M64" s="26" t="inlineStr">
        <is>
          <t>FULLBOX_CARTON</t>
        </is>
      </c>
      <c r="N64" s="25" t="inlineStr">
        <is>
          <t>N</t>
        </is>
      </c>
      <c r="O64" s="26" t="n"/>
      <c r="P64" s="26" t="inlineStr">
        <is>
          <t>REMAINDER_TO_REPACK</t>
        </is>
      </c>
      <c r="Q64" s="25" t="inlineStr">
        <is>
          <t>OK</t>
        </is>
      </c>
      <c r="R64" s="26" t="inlineStr">
        <is>
          <t>완박스를 표준박스로 매핑하지 않고 자체 출고 카톤으로 사용</t>
        </is>
      </c>
      <c r="S64" s="27" t="inlineStr">
        <is>
          <t>FBX076</t>
        </is>
      </c>
      <c r="T64" s="27" t="inlineStr">
        <is>
          <t>완박스 57x28x15.5</t>
        </is>
      </c>
      <c r="U64" s="27" t="inlineStr">
        <is>
          <t>Y</t>
        </is>
      </c>
      <c r="V64" s="27" t="inlineStr">
        <is>
          <t>FBG083</t>
        </is>
      </c>
    </row>
    <row r="65">
      <c r="A65" s="26" t="inlineStr">
        <is>
          <t>A200480</t>
        </is>
      </c>
      <c r="B65" s="26" t="inlineStr">
        <is>
          <t>리체스 에프앤비(Label)</t>
        </is>
      </c>
      <c r="C65" s="24" t="n">
        <v>50</v>
      </c>
      <c r="D65" s="24" t="n">
        <v>57</v>
      </c>
      <c r="E65" s="24" t="n">
        <v>28</v>
      </c>
      <c r="F65" s="60" t="n">
        <v>15.5</v>
      </c>
      <c r="G65" s="60" t="n">
        <v>8.5</v>
      </c>
      <c r="H65" s="24" t="n">
        <v>1</v>
      </c>
      <c r="I65" s="25" t="inlineStr">
        <is>
          <t>Y</t>
        </is>
      </c>
      <c r="J65" s="26" t="inlineStr">
        <is>
          <t>완박스 정보.xlsx</t>
        </is>
      </c>
      <c r="K65" s="26" t="inlineStr">
        <is>
          <t>FBX076</t>
        </is>
      </c>
      <c r="L65" s="26" t="inlineStr">
        <is>
          <t>OWN_CARTON</t>
        </is>
      </c>
      <c r="M65" s="26" t="inlineStr">
        <is>
          <t>FULLBOX_CARTON</t>
        </is>
      </c>
      <c r="N65" s="25" t="inlineStr">
        <is>
          <t>N</t>
        </is>
      </c>
      <c r="O65" s="26" t="n"/>
      <c r="P65" s="26" t="inlineStr">
        <is>
          <t>REMAINDER_TO_REPACK</t>
        </is>
      </c>
      <c r="Q65" s="25" t="inlineStr">
        <is>
          <t>OK</t>
        </is>
      </c>
      <c r="R65" s="26" t="inlineStr">
        <is>
          <t>완박스를 표준박스로 매핑하지 않고 자체 출고 카톤으로 사용</t>
        </is>
      </c>
      <c r="S65" s="27" t="inlineStr">
        <is>
          <t>FBX076</t>
        </is>
      </c>
      <c r="T65" s="27" t="inlineStr">
        <is>
          <t>완박스 57x28x15.5</t>
        </is>
      </c>
      <c r="U65" s="27" t="inlineStr">
        <is>
          <t>Y</t>
        </is>
      </c>
      <c r="V65" s="27" t="inlineStr">
        <is>
          <t>FBG083</t>
        </is>
      </c>
    </row>
    <row r="66" ht="30" customHeight="1" s="42">
      <c r="A66" s="26" t="inlineStr">
        <is>
          <t>A200470</t>
        </is>
      </c>
      <c r="B66" s="26" t="inlineStr">
        <is>
          <t>리체스 PN 리도</t>
        </is>
      </c>
      <c r="C66" s="24" t="n">
        <v>50</v>
      </c>
      <c r="D66" s="24" t="n">
        <v>41</v>
      </c>
      <c r="E66" s="24" t="n">
        <v>34</v>
      </c>
      <c r="F66" s="24" t="n">
        <v>39</v>
      </c>
      <c r="G66" s="60" t="n">
        <v>5.25</v>
      </c>
      <c r="H66" s="24" t="n">
        <v>1</v>
      </c>
      <c r="I66" s="25" t="inlineStr">
        <is>
          <t>Y</t>
        </is>
      </c>
      <c r="J66" s="26" t="inlineStr">
        <is>
          <t>완박스 정보.xlsx</t>
        </is>
      </c>
      <c r="K66" s="26" t="inlineStr">
        <is>
          <t>FBX020</t>
        </is>
      </c>
      <c r="L66" s="26" t="inlineStr">
        <is>
          <t>OWN_CARTON</t>
        </is>
      </c>
      <c r="M66" s="26" t="inlineStr">
        <is>
          <t>FULLBOX_CARTON</t>
        </is>
      </c>
      <c r="N66" s="25" t="inlineStr">
        <is>
          <t>N</t>
        </is>
      </c>
      <c r="O66" s="26" t="n"/>
      <c r="P66" s="26" t="inlineStr">
        <is>
          <t>REMAINDER_TO_REPACK</t>
        </is>
      </c>
      <c r="Q66" s="25" t="inlineStr">
        <is>
          <t>OK</t>
        </is>
      </c>
      <c r="R66" s="26" t="inlineStr">
        <is>
          <t>완박스를 표준박스로 매핑하지 않고 자체 출고 카톤으로 사용</t>
        </is>
      </c>
      <c r="S66" s="27" t="inlineStr">
        <is>
          <t>FBX020</t>
        </is>
      </c>
      <c r="T66" s="27" t="inlineStr">
        <is>
          <t>완박스 41x34x39</t>
        </is>
      </c>
      <c r="U66" s="27" t="inlineStr">
        <is>
          <t>Y</t>
        </is>
      </c>
      <c r="V66" s="27" t="inlineStr">
        <is>
          <t>FBG072</t>
        </is>
      </c>
    </row>
    <row r="67">
      <c r="A67" s="26" t="inlineStr">
        <is>
          <t>A200475</t>
        </is>
      </c>
      <c r="B67" s="26" t="inlineStr">
        <is>
          <t>리체스 PN플러스 리도</t>
        </is>
      </c>
      <c r="C67" s="24" t="n">
        <v>50</v>
      </c>
      <c r="D67" s="24" t="n">
        <v>41</v>
      </c>
      <c r="E67" s="24" t="n">
        <v>34</v>
      </c>
      <c r="F67" s="24" t="n">
        <v>39</v>
      </c>
      <c r="G67" s="60" t="n">
        <v>5.25</v>
      </c>
      <c r="H67" s="24" t="n">
        <v>1</v>
      </c>
      <c r="I67" s="25" t="inlineStr">
        <is>
          <t>Y</t>
        </is>
      </c>
      <c r="J67" s="26" t="inlineStr">
        <is>
          <t>완박스 정보.xlsx</t>
        </is>
      </c>
      <c r="K67" s="26" t="inlineStr">
        <is>
          <t>FBX020</t>
        </is>
      </c>
      <c r="L67" s="26" t="inlineStr">
        <is>
          <t>OWN_CARTON</t>
        </is>
      </c>
      <c r="M67" s="26" t="inlineStr">
        <is>
          <t>FULLBOX_CARTON</t>
        </is>
      </c>
      <c r="N67" s="25" t="inlineStr">
        <is>
          <t>N</t>
        </is>
      </c>
      <c r="O67" s="26" t="n"/>
      <c r="P67" s="26" t="inlineStr">
        <is>
          <t>REMAINDER_TO_REPACK</t>
        </is>
      </c>
      <c r="Q67" s="25" t="inlineStr">
        <is>
          <t>OK</t>
        </is>
      </c>
      <c r="R67" s="26" t="inlineStr">
        <is>
          <t>완박스를 표준박스로 매핑하지 않고 자체 출고 카톤으로 사용</t>
        </is>
      </c>
      <c r="S67" s="27" t="inlineStr">
        <is>
          <t>FBX020</t>
        </is>
      </c>
      <c r="T67" s="27" t="inlineStr">
        <is>
          <t>완박스 41x34x39</t>
        </is>
      </c>
      <c r="U67" s="27" t="inlineStr">
        <is>
          <t>Y</t>
        </is>
      </c>
      <c r="V67" s="27" t="inlineStr">
        <is>
          <t>FBG072</t>
        </is>
      </c>
    </row>
    <row r="68" ht="30" customHeight="1" s="42">
      <c r="A68" s="26" t="inlineStr">
        <is>
          <t>A301040</t>
        </is>
      </c>
      <c r="B68" s="26" t="inlineStr">
        <is>
          <t>리체스 아쿠아프라임</t>
        </is>
      </c>
      <c r="C68" s="24" t="n">
        <v>50</v>
      </c>
      <c r="D68" s="24" t="n">
        <v>40</v>
      </c>
      <c r="E68" s="60" t="n">
        <v>38.5</v>
      </c>
      <c r="F68" s="60" t="n">
        <v>27.5</v>
      </c>
      <c r="G68" s="60" t="n">
        <v>5.45</v>
      </c>
      <c r="H68" s="24" t="n">
        <v>1</v>
      </c>
      <c r="I68" s="25" t="inlineStr">
        <is>
          <t>Y</t>
        </is>
      </c>
      <c r="J68" s="26" t="inlineStr">
        <is>
          <t>완박스 정보.xlsx</t>
        </is>
      </c>
      <c r="K68" s="26" t="inlineStr">
        <is>
          <t>FBX015</t>
        </is>
      </c>
      <c r="L68" s="26" t="inlineStr">
        <is>
          <t>OWN_CARTON</t>
        </is>
      </c>
      <c r="M68" s="26" t="inlineStr">
        <is>
          <t>FULLBOX_CARTON</t>
        </is>
      </c>
      <c r="N68" s="25" t="inlineStr">
        <is>
          <t>N</t>
        </is>
      </c>
      <c r="O68" s="26" t="n"/>
      <c r="P68" s="26" t="inlineStr">
        <is>
          <t>REMAINDER_TO_REPACK</t>
        </is>
      </c>
      <c r="Q68" s="25" t="inlineStr">
        <is>
          <t>OK</t>
        </is>
      </c>
      <c r="R68" s="26" t="inlineStr">
        <is>
          <t>완박스를 표준박스로 매핑하지 않고 자체 출고 카톤으로 사용</t>
        </is>
      </c>
      <c r="S68" s="27" t="inlineStr">
        <is>
          <t>FBX015</t>
        </is>
      </c>
      <c r="T68" s="27" t="inlineStr">
        <is>
          <t>완박스 40x38.5x27.5</t>
        </is>
      </c>
      <c r="U68" s="27" t="inlineStr">
        <is>
          <t>Y</t>
        </is>
      </c>
      <c r="V68" s="27" t="inlineStr">
        <is>
          <t>FBG068</t>
        </is>
      </c>
    </row>
    <row r="69" ht="30" customHeight="1" s="42">
      <c r="A69" s="26" t="inlineStr">
        <is>
          <t>A301065</t>
        </is>
      </c>
      <c r="B69" s="26" t="inlineStr">
        <is>
          <t>리체스 NAD+ 부스터(BOX)</t>
        </is>
      </c>
      <c r="C69" s="24" t="n">
        <v>36</v>
      </c>
      <c r="D69" s="24" t="n">
        <v>55</v>
      </c>
      <c r="E69" s="24" t="n">
        <v>35</v>
      </c>
      <c r="F69" s="24" t="n">
        <v>20</v>
      </c>
      <c r="G69" s="60" t="n">
        <v>8.199999999999999</v>
      </c>
      <c r="H69" s="24" t="n">
        <v>1</v>
      </c>
      <c r="I69" s="25" t="inlineStr">
        <is>
          <t>Y</t>
        </is>
      </c>
      <c r="J69" s="26" t="inlineStr">
        <is>
          <t>완박스 정보.xlsx</t>
        </is>
      </c>
      <c r="K69" s="26" t="inlineStr">
        <is>
          <t>FBX070</t>
        </is>
      </c>
      <c r="L69" s="26" t="inlineStr">
        <is>
          <t>OWN_CARTON</t>
        </is>
      </c>
      <c r="M69" s="26" t="inlineStr">
        <is>
          <t>FULLBOX_CARTON</t>
        </is>
      </c>
      <c r="N69" s="25" t="inlineStr">
        <is>
          <t>N</t>
        </is>
      </c>
      <c r="O69" s="26" t="n"/>
      <c r="P69" s="26" t="inlineStr">
        <is>
          <t>REMAINDER_TO_REPACK</t>
        </is>
      </c>
      <c r="Q69" s="25" t="inlineStr">
        <is>
          <t>OK</t>
        </is>
      </c>
      <c r="R69" s="26" t="inlineStr">
        <is>
          <t>완박스를 표준박스로 매핑하지 않고 자체 출고 카톤으로 사용</t>
        </is>
      </c>
      <c r="S69" s="27" t="inlineStr">
        <is>
          <t>FBX070</t>
        </is>
      </c>
      <c r="T69" s="27" t="inlineStr">
        <is>
          <t>완박스 55x35x20</t>
        </is>
      </c>
      <c r="U69" s="27" t="inlineStr">
        <is>
          <t>Y</t>
        </is>
      </c>
      <c r="V69" s="27" t="inlineStr">
        <is>
          <t>FBG057</t>
        </is>
      </c>
    </row>
    <row r="70" ht="30" customHeight="1" s="42">
      <c r="A70" s="22" t="inlineStr">
        <is>
          <t>A100510</t>
        </is>
      </c>
      <c r="B70" s="22" t="inlineStr">
        <is>
          <t>리체스 TX100</t>
        </is>
      </c>
      <c r="C70" s="23" t="n">
        <v>200</v>
      </c>
      <c r="D70" s="23" t="n">
        <v>39.5</v>
      </c>
      <c r="E70" s="23" t="n">
        <v>22.5</v>
      </c>
      <c r="F70" s="23" t="n">
        <v>39.5</v>
      </c>
      <c r="G70" s="23" t="n">
        <v>6.7</v>
      </c>
      <c r="H70" s="24" t="n">
        <v>1</v>
      </c>
      <c r="I70" s="25" t="inlineStr">
        <is>
          <t>Y</t>
        </is>
      </c>
      <c r="J70" s="26" t="inlineStr">
        <is>
          <t>완박스 정보.xlsx</t>
        </is>
      </c>
      <c r="K70" s="22" t="inlineStr">
        <is>
          <t>FBX012</t>
        </is>
      </c>
      <c r="L70" s="26" t="inlineStr">
        <is>
          <t>OWN_CARTON</t>
        </is>
      </c>
      <c r="M70" s="26" t="inlineStr">
        <is>
          <t>FULLBOX_CARTON</t>
        </is>
      </c>
      <c r="N70" s="25" t="inlineStr">
        <is>
          <t>N</t>
        </is>
      </c>
      <c r="O70" s="22" t="n"/>
      <c r="P70" s="26" t="inlineStr">
        <is>
          <t>REMAINDER_TO_REPACK</t>
        </is>
      </c>
      <c r="Q70" s="25" t="inlineStr">
        <is>
          <t>OK</t>
        </is>
      </c>
      <c r="R70" s="26" t="inlineStr">
        <is>
          <t>완박스를 표준박스로 매핑하지 않고 자체 출고 카톤으로 사용</t>
        </is>
      </c>
      <c r="S70" s="22" t="inlineStr">
        <is>
          <t>FBX012</t>
        </is>
      </c>
      <c r="T70" s="22" t="inlineStr">
        <is>
          <t>완박스 39.5x22.5x39.5</t>
        </is>
      </c>
      <c r="U70" s="27" t="inlineStr">
        <is>
          <t>Y</t>
        </is>
      </c>
      <c r="V70" s="22" t="inlineStr">
        <is>
          <t>FBG043</t>
        </is>
      </c>
    </row>
    <row r="71">
      <c r="A71" s="22" t="inlineStr">
        <is>
          <t>A100520</t>
        </is>
      </c>
      <c r="B71" s="22" t="inlineStr">
        <is>
          <t>리체스 TX200</t>
        </is>
      </c>
      <c r="C71" s="23" t="n">
        <v>200</v>
      </c>
      <c r="D71" s="23" t="n">
        <v>39.5</v>
      </c>
      <c r="E71" s="23" t="n">
        <v>22.5</v>
      </c>
      <c r="F71" s="23" t="n">
        <v>39.5</v>
      </c>
      <c r="G71" s="23" t="n">
        <v>6.7</v>
      </c>
      <c r="H71" s="24" t="n">
        <v>1</v>
      </c>
      <c r="I71" s="25" t="inlineStr">
        <is>
          <t>Y</t>
        </is>
      </c>
      <c r="J71" s="26" t="inlineStr">
        <is>
          <t>완박스 정보.xlsx</t>
        </is>
      </c>
      <c r="K71" s="22" t="inlineStr">
        <is>
          <t>FBX012</t>
        </is>
      </c>
      <c r="L71" s="26" t="inlineStr">
        <is>
          <t>OWN_CARTON</t>
        </is>
      </c>
      <c r="M71" s="26" t="inlineStr">
        <is>
          <t>FULLBOX_CARTON</t>
        </is>
      </c>
      <c r="N71" s="25" t="inlineStr">
        <is>
          <t>N</t>
        </is>
      </c>
      <c r="O71" s="22" t="n"/>
      <c r="P71" s="26" t="inlineStr">
        <is>
          <t>REMAINDER_TO_REPACK</t>
        </is>
      </c>
      <c r="Q71" s="25" t="inlineStr">
        <is>
          <t>OK</t>
        </is>
      </c>
      <c r="R71" s="26" t="inlineStr">
        <is>
          <t>완박스를 표준박스로 매핑하지 않고 자체 출고 카톤으로 사용</t>
        </is>
      </c>
      <c r="S71" s="22" t="inlineStr">
        <is>
          <t>FBX012</t>
        </is>
      </c>
      <c r="T71" s="22" t="inlineStr">
        <is>
          <t>완박스 39.5x22.5x39.5</t>
        </is>
      </c>
      <c r="U71" s="27" t="inlineStr">
        <is>
          <t>Y</t>
        </is>
      </c>
      <c r="V71" s="22" t="inlineStr">
        <is>
          <t>FBG043</t>
        </is>
      </c>
    </row>
    <row r="72">
      <c r="A72" s="26" t="inlineStr">
        <is>
          <t>A300700</t>
        </is>
      </c>
      <c r="B72" s="26" t="inlineStr">
        <is>
          <t>리체스 카인크림</t>
        </is>
      </c>
      <c r="C72" s="24" t="n">
        <v>20</v>
      </c>
      <c r="D72" s="24" t="n">
        <v>55</v>
      </c>
      <c r="E72" s="24" t="n">
        <v>48</v>
      </c>
      <c r="F72" s="60" t="n">
        <v>15.5</v>
      </c>
      <c r="G72" s="60" t="n">
        <v>14.7</v>
      </c>
      <c r="H72" s="24" t="n">
        <v>1</v>
      </c>
      <c r="I72" s="25" t="inlineStr">
        <is>
          <t>Y</t>
        </is>
      </c>
      <c r="J72" s="26" t="inlineStr">
        <is>
          <t>완박스 정보.xlsx</t>
        </is>
      </c>
      <c r="K72" s="26" t="inlineStr">
        <is>
          <t>FBX073</t>
        </is>
      </c>
      <c r="L72" s="26" t="inlineStr">
        <is>
          <t>OWN_CARTON</t>
        </is>
      </c>
      <c r="M72" s="26" t="inlineStr">
        <is>
          <t>FULLBOX_CARTON</t>
        </is>
      </c>
      <c r="N72" s="25" t="inlineStr">
        <is>
          <t>N</t>
        </is>
      </c>
      <c r="O72" s="26" t="n"/>
      <c r="P72" s="26" t="inlineStr">
        <is>
          <t>REMAINDER_TO_REPACK</t>
        </is>
      </c>
      <c r="Q72" s="25" t="inlineStr">
        <is>
          <t>OK</t>
        </is>
      </c>
      <c r="R72" s="26" t="inlineStr">
        <is>
          <t>완박스를 표준박스로 매핑하지 않고 자체 출고 카톤으로 사용</t>
        </is>
      </c>
      <c r="S72" s="27" t="inlineStr">
        <is>
          <t>FBX073</t>
        </is>
      </c>
      <c r="T72" s="27" t="inlineStr">
        <is>
          <t>완박스 55x48x15.5</t>
        </is>
      </c>
      <c r="U72" s="27" t="inlineStr">
        <is>
          <t>Y</t>
        </is>
      </c>
      <c r="V72" s="27" t="inlineStr">
        <is>
          <t>FBG040</t>
        </is>
      </c>
    </row>
    <row r="73">
      <c r="A73" s="26" t="inlineStr">
        <is>
          <t>A300702</t>
        </is>
      </c>
      <c r="B73" s="26" t="inlineStr">
        <is>
          <t>리체스 카인플러스크림</t>
        </is>
      </c>
      <c r="C73" s="24" t="n">
        <v>20</v>
      </c>
      <c r="D73" s="24" t="n">
        <v>55</v>
      </c>
      <c r="E73" s="24" t="n">
        <v>48</v>
      </c>
      <c r="F73" s="60" t="n">
        <v>15.5</v>
      </c>
      <c r="G73" s="60" t="n">
        <v>14.7</v>
      </c>
      <c r="H73" s="24" t="n">
        <v>1</v>
      </c>
      <c r="I73" s="25" t="inlineStr">
        <is>
          <t>Y</t>
        </is>
      </c>
      <c r="J73" s="26" t="inlineStr">
        <is>
          <t>완박스 정보.xlsx</t>
        </is>
      </c>
      <c r="K73" s="26" t="inlineStr">
        <is>
          <t>FBX073</t>
        </is>
      </c>
      <c r="L73" s="26" t="inlineStr">
        <is>
          <t>OWN_CARTON</t>
        </is>
      </c>
      <c r="M73" s="26" t="inlineStr">
        <is>
          <t>FULLBOX_CARTON</t>
        </is>
      </c>
      <c r="N73" s="25" t="inlineStr">
        <is>
          <t>N</t>
        </is>
      </c>
      <c r="O73" s="26" t="n"/>
      <c r="P73" s="26" t="inlineStr">
        <is>
          <t>REMAINDER_TO_REPACK</t>
        </is>
      </c>
      <c r="Q73" s="25" t="inlineStr">
        <is>
          <t>OK</t>
        </is>
      </c>
      <c r="R73" s="26" t="inlineStr">
        <is>
          <t>완박스를 표준박스로 매핑하지 않고 자체 출고 카톤으로 사용</t>
        </is>
      </c>
      <c r="S73" s="27" t="inlineStr">
        <is>
          <t>FBX073</t>
        </is>
      </c>
      <c r="T73" s="27" t="inlineStr">
        <is>
          <t>완박스 55x48x15.5</t>
        </is>
      </c>
      <c r="U73" s="27" t="inlineStr">
        <is>
          <t>Y</t>
        </is>
      </c>
      <c r="V73" s="27" t="inlineStr">
        <is>
          <t>FBG040</t>
        </is>
      </c>
    </row>
    <row r="74" ht="30" customHeight="1" s="42">
      <c r="A74" s="26" t="inlineStr">
        <is>
          <t>A300701</t>
        </is>
      </c>
      <c r="B74" s="26" t="inlineStr">
        <is>
          <t>리체스 카인크림 (30g)</t>
        </is>
      </c>
      <c r="C74" s="24" t="n">
        <v>180</v>
      </c>
      <c r="D74" s="24" t="n">
        <v>55</v>
      </c>
      <c r="E74" s="24" t="n">
        <v>27</v>
      </c>
      <c r="F74" s="24" t="n">
        <v>30</v>
      </c>
      <c r="G74" s="24" t="n">
        <v>10</v>
      </c>
      <c r="H74" s="24" t="n">
        <v>1</v>
      </c>
      <c r="I74" s="25" t="inlineStr">
        <is>
          <t>Y</t>
        </is>
      </c>
      <c r="J74" s="26" t="inlineStr">
        <is>
          <t>완박스 정보.xlsx</t>
        </is>
      </c>
      <c r="K74" s="26" t="inlineStr">
        <is>
          <t>FBX068</t>
        </is>
      </c>
      <c r="L74" s="26" t="inlineStr">
        <is>
          <t>OWN_CARTON</t>
        </is>
      </c>
      <c r="M74" s="26" t="inlineStr">
        <is>
          <t>FULLBOX_CARTON</t>
        </is>
      </c>
      <c r="N74" s="25" t="inlineStr">
        <is>
          <t>N</t>
        </is>
      </c>
      <c r="O74" s="26" t="n"/>
      <c r="P74" s="26" t="inlineStr">
        <is>
          <t>REMAINDER_TO_REPACK</t>
        </is>
      </c>
      <c r="Q74" s="25" t="inlineStr">
        <is>
          <t>OK</t>
        </is>
      </c>
      <c r="R74" s="26" t="inlineStr">
        <is>
          <t>완박스를 표준박스로 매핑하지 않고 자체 출고 카톤으로 사용</t>
        </is>
      </c>
      <c r="S74" s="27" t="inlineStr">
        <is>
          <t>FBX068</t>
        </is>
      </c>
      <c r="T74" s="27" t="inlineStr">
        <is>
          <t>완박스 55x27x30</t>
        </is>
      </c>
      <c r="U74" s="27" t="inlineStr">
        <is>
          <t>Y</t>
        </is>
      </c>
      <c r="V74" s="27" t="inlineStr">
        <is>
          <t>FBG039</t>
        </is>
      </c>
    </row>
    <row r="75">
      <c r="A75" s="26" t="inlineStr">
        <is>
          <t>A300910</t>
        </is>
      </c>
      <c r="B75" s="26" t="inlineStr">
        <is>
          <t>리체스 글램필</t>
        </is>
      </c>
      <c r="C75" s="24" t="n">
        <v>100</v>
      </c>
      <c r="D75" s="24" t="n">
        <v>51</v>
      </c>
      <c r="E75" s="24" t="n">
        <v>27</v>
      </c>
      <c r="F75" s="24" t="n">
        <v>21</v>
      </c>
      <c r="G75" s="60" t="n">
        <v>13.7</v>
      </c>
      <c r="H75" s="24" t="n">
        <v>1</v>
      </c>
      <c r="I75" s="25" t="inlineStr">
        <is>
          <t>Y</t>
        </is>
      </c>
      <c r="J75" s="26" t="inlineStr">
        <is>
          <t>완박스 정보.xlsx</t>
        </is>
      </c>
      <c r="K75" s="26" t="inlineStr">
        <is>
          <t>FBX063</t>
        </is>
      </c>
      <c r="L75" s="26" t="inlineStr">
        <is>
          <t>OWN_CARTON</t>
        </is>
      </c>
      <c r="M75" s="26" t="inlineStr">
        <is>
          <t>FULLBOX_CARTON</t>
        </is>
      </c>
      <c r="N75" s="25" t="inlineStr">
        <is>
          <t>N</t>
        </is>
      </c>
      <c r="O75" s="26" t="n"/>
      <c r="P75" s="26" t="inlineStr">
        <is>
          <t>REMAINDER_TO_REPACK</t>
        </is>
      </c>
      <c r="Q75" s="25" t="inlineStr">
        <is>
          <t>OK</t>
        </is>
      </c>
      <c r="R75" s="26" t="inlineStr">
        <is>
          <t>완박스를 표준박스로 매핑하지 않고 자체 출고 카톤으로 사용</t>
        </is>
      </c>
      <c r="S75" s="27" t="inlineStr">
        <is>
          <t>FBX063</t>
        </is>
      </c>
      <c r="T75" s="27" t="inlineStr">
        <is>
          <t>완박스 51x27x21</t>
        </is>
      </c>
      <c r="U75" s="27" t="inlineStr">
        <is>
          <t>Y</t>
        </is>
      </c>
      <c r="V75" s="27" t="inlineStr">
        <is>
          <t>FBG029</t>
        </is>
      </c>
    </row>
    <row r="76">
      <c r="A76" s="26" t="inlineStr">
        <is>
          <t>A300715</t>
        </is>
      </c>
      <c r="B76" s="26" t="inlineStr">
        <is>
          <t>리체스 B (R)</t>
        </is>
      </c>
      <c r="C76" s="24" t="n">
        <v>82</v>
      </c>
      <c r="D76" s="24" t="n">
        <v>45</v>
      </c>
      <c r="E76" s="24" t="n">
        <v>37</v>
      </c>
      <c r="F76" s="24" t="n">
        <v>32</v>
      </c>
      <c r="G76" s="60" t="n">
        <v>6.95</v>
      </c>
      <c r="H76" s="24" t="n">
        <v>1</v>
      </c>
      <c r="I76" s="25" t="inlineStr">
        <is>
          <t>Y</t>
        </is>
      </c>
      <c r="J76" s="26" t="inlineStr">
        <is>
          <t>완박스 정보.xlsx</t>
        </is>
      </c>
      <c r="K76" s="26" t="inlineStr">
        <is>
          <t>FBX036</t>
        </is>
      </c>
      <c r="L76" s="26" t="inlineStr">
        <is>
          <t>OWN_CARTON</t>
        </is>
      </c>
      <c r="M76" s="26" t="inlineStr">
        <is>
          <t>FULLBOX_CARTON</t>
        </is>
      </c>
      <c r="N76" s="25" t="inlineStr">
        <is>
          <t>N</t>
        </is>
      </c>
      <c r="O76" s="26" t="n"/>
      <c r="P76" s="26" t="inlineStr">
        <is>
          <t>REMAINDER_TO_REPACK</t>
        </is>
      </c>
      <c r="Q76" s="25" t="inlineStr">
        <is>
          <t>OK</t>
        </is>
      </c>
      <c r="R76" s="26" t="inlineStr">
        <is>
          <t>완박스를 표준박스로 매핑하지 않고 자체 출고 카톤으로 사용</t>
        </is>
      </c>
      <c r="S76" s="27" t="inlineStr">
        <is>
          <t>FBX036</t>
        </is>
      </c>
      <c r="T76" s="27" t="inlineStr">
        <is>
          <t>완박스 45x37x32</t>
        </is>
      </c>
      <c r="U76" s="27" t="inlineStr">
        <is>
          <t>Y</t>
        </is>
      </c>
      <c r="V76" s="27" t="inlineStr">
        <is>
          <t>FBG023</t>
        </is>
      </c>
    </row>
    <row r="77">
      <c r="A77" s="26" t="inlineStr">
        <is>
          <t>A200437</t>
        </is>
      </c>
      <c r="B77" s="26" t="inlineStr">
        <is>
          <t>리체스 딥 리도(2sy C)</t>
        </is>
      </c>
      <c r="C77" s="24" t="n">
        <v>57</v>
      </c>
      <c r="D77" s="24" t="n">
        <v>45</v>
      </c>
      <c r="E77" s="24" t="n">
        <v>37</v>
      </c>
      <c r="F77" s="24" t="n">
        <v>32</v>
      </c>
      <c r="G77" s="60" t="n">
        <v>6.1</v>
      </c>
      <c r="H77" s="24" t="n">
        <v>1</v>
      </c>
      <c r="I77" s="25" t="inlineStr">
        <is>
          <t>Y</t>
        </is>
      </c>
      <c r="J77" s="26" t="inlineStr">
        <is>
          <t>완박스 정보.xlsx</t>
        </is>
      </c>
      <c r="K77" s="26" t="inlineStr">
        <is>
          <t>FBX033</t>
        </is>
      </c>
      <c r="L77" s="26" t="inlineStr">
        <is>
          <t>OWN_CARTON</t>
        </is>
      </c>
      <c r="M77" s="26" t="inlineStr">
        <is>
          <t>FULLBOX_CARTON</t>
        </is>
      </c>
      <c r="N77" s="25" t="inlineStr">
        <is>
          <t>N</t>
        </is>
      </c>
      <c r="O77" s="26" t="n"/>
      <c r="P77" s="26" t="inlineStr">
        <is>
          <t>REMAINDER_TO_REPACK</t>
        </is>
      </c>
      <c r="Q77" s="25" t="inlineStr">
        <is>
          <t>OK</t>
        </is>
      </c>
      <c r="R77" s="26" t="inlineStr">
        <is>
          <t>완박스를 표준박스로 매핑하지 않고 자체 출고 카톤으로 사용</t>
        </is>
      </c>
      <c r="S77" s="27" t="inlineStr">
        <is>
          <t>FBX033</t>
        </is>
      </c>
      <c r="T77" s="27" t="inlineStr">
        <is>
          <t>완박스 45x37x32</t>
        </is>
      </c>
      <c r="U77" s="27" t="inlineStr">
        <is>
          <t>Y</t>
        </is>
      </c>
      <c r="V77" s="27" t="inlineStr">
        <is>
          <t>FBG023</t>
        </is>
      </c>
    </row>
    <row r="78">
      <c r="A78" s="26" t="inlineStr">
        <is>
          <t>A200460</t>
        </is>
      </c>
      <c r="B78" s="26" t="inlineStr">
        <is>
          <t>리체스 딥 리도(C)</t>
        </is>
      </c>
      <c r="C78" s="24" t="n">
        <v>100</v>
      </c>
      <c r="D78" s="24" t="n">
        <v>45</v>
      </c>
      <c r="E78" s="24" t="n">
        <v>37</v>
      </c>
      <c r="F78" s="24" t="n">
        <v>32</v>
      </c>
      <c r="G78" s="60" t="n">
        <v>6.3</v>
      </c>
      <c r="H78" s="24" t="n">
        <v>1</v>
      </c>
      <c r="I78" s="25" t="inlineStr">
        <is>
          <t>Y</t>
        </is>
      </c>
      <c r="J78" s="26" t="inlineStr">
        <is>
          <t>완박스 정보.xlsx</t>
        </is>
      </c>
      <c r="K78" s="26" t="inlineStr">
        <is>
          <t>FBX034</t>
        </is>
      </c>
      <c r="L78" s="26" t="inlineStr">
        <is>
          <t>OWN_CARTON</t>
        </is>
      </c>
      <c r="M78" s="26" t="inlineStr">
        <is>
          <t>FULLBOX_CARTON</t>
        </is>
      </c>
      <c r="N78" s="25" t="inlineStr">
        <is>
          <t>N</t>
        </is>
      </c>
      <c r="O78" s="26" t="n"/>
      <c r="P78" s="26" t="inlineStr">
        <is>
          <t>REMAINDER_TO_REPACK</t>
        </is>
      </c>
      <c r="Q78" s="25" t="inlineStr">
        <is>
          <t>OK</t>
        </is>
      </c>
      <c r="R78" s="26" t="inlineStr">
        <is>
          <t>완박스를 표준박스로 매핑하지 않고 자체 출고 카톤으로 사용</t>
        </is>
      </c>
      <c r="S78" s="27" t="inlineStr">
        <is>
          <t>FBX034</t>
        </is>
      </c>
      <c r="T78" s="27" t="inlineStr">
        <is>
          <t>완박스 45x37x32</t>
        </is>
      </c>
      <c r="U78" s="27" t="inlineStr">
        <is>
          <t>Y</t>
        </is>
      </c>
      <c r="V78" s="27" t="inlineStr">
        <is>
          <t>FBG023</t>
        </is>
      </c>
    </row>
    <row r="79">
      <c r="A79" s="26" t="inlineStr">
        <is>
          <t>A301060</t>
        </is>
      </c>
      <c r="B79" s="26" t="inlineStr">
        <is>
          <t>리체스 메조퀸 잘루부스터</t>
        </is>
      </c>
      <c r="C79" s="24" t="n">
        <v>24</v>
      </c>
      <c r="D79" s="24" t="n">
        <v>46</v>
      </c>
      <c r="E79" s="24" t="n">
        <v>37</v>
      </c>
      <c r="F79" s="24" t="n">
        <v>32</v>
      </c>
      <c r="G79" s="60" t="n">
        <v>11.2</v>
      </c>
      <c r="H79" s="24" t="n">
        <v>1</v>
      </c>
      <c r="I79" s="25" t="inlineStr">
        <is>
          <t>Y</t>
        </is>
      </c>
      <c r="J79" s="26" t="inlineStr">
        <is>
          <t>완박스 정보.xlsx</t>
        </is>
      </c>
      <c r="K79" s="26" t="inlineStr">
        <is>
          <t>FBX047</t>
        </is>
      </c>
      <c r="L79" s="26" t="inlineStr">
        <is>
          <t>OWN_CARTON</t>
        </is>
      </c>
      <c r="M79" s="26" t="inlineStr">
        <is>
          <t>FULLBOX_CARTON</t>
        </is>
      </c>
      <c r="N79" s="25" t="inlineStr">
        <is>
          <t>N</t>
        </is>
      </c>
      <c r="O79" s="26" t="n"/>
      <c r="P79" s="26" t="inlineStr">
        <is>
          <t>REMAINDER_TO_REPACK</t>
        </is>
      </c>
      <c r="Q79" s="25" t="inlineStr">
        <is>
          <t>OK</t>
        </is>
      </c>
      <c r="R79" s="26" t="inlineStr">
        <is>
          <t>완박스를 표준박스로 매핑하지 않고 자체 출고 카톤으로 사용</t>
        </is>
      </c>
      <c r="S79" s="27" t="inlineStr">
        <is>
          <t>FBX047</t>
        </is>
      </c>
      <c r="T79" s="27" t="inlineStr">
        <is>
          <t>완박스 46x37x32</t>
        </is>
      </c>
      <c r="U79" s="27" t="inlineStr">
        <is>
          <t>Y</t>
        </is>
      </c>
      <c r="V79" s="27" t="inlineStr">
        <is>
          <t>FBG023</t>
        </is>
      </c>
    </row>
    <row r="80">
      <c r="A80" s="26" t="inlineStr">
        <is>
          <t>A200436</t>
        </is>
      </c>
      <c r="B80" s="26" t="inlineStr">
        <is>
          <t>리체스 소프트 리도(2sy C)</t>
        </is>
      </c>
      <c r="C80" s="24" t="n">
        <v>57</v>
      </c>
      <c r="D80" s="24" t="n">
        <v>46</v>
      </c>
      <c r="E80" s="24" t="n">
        <v>37</v>
      </c>
      <c r="F80" s="24" t="n">
        <v>32</v>
      </c>
      <c r="G80" s="60" t="n">
        <v>6.1</v>
      </c>
      <c r="H80" s="24" t="n">
        <v>1</v>
      </c>
      <c r="I80" s="25" t="inlineStr">
        <is>
          <t>Y</t>
        </is>
      </c>
      <c r="J80" s="26" t="inlineStr">
        <is>
          <t>완박스 정보.xlsx</t>
        </is>
      </c>
      <c r="K80" s="26" t="inlineStr">
        <is>
          <t>FBX042</t>
        </is>
      </c>
      <c r="L80" s="26" t="inlineStr">
        <is>
          <t>OWN_CARTON</t>
        </is>
      </c>
      <c r="M80" s="26" t="inlineStr">
        <is>
          <t>FULLBOX_CARTON</t>
        </is>
      </c>
      <c r="N80" s="25" t="inlineStr">
        <is>
          <t>N</t>
        </is>
      </c>
      <c r="O80" s="26" t="n"/>
      <c r="P80" s="26" t="inlineStr">
        <is>
          <t>REMAINDER_TO_REPACK</t>
        </is>
      </c>
      <c r="Q80" s="25" t="inlineStr">
        <is>
          <t>OK</t>
        </is>
      </c>
      <c r="R80" s="26" t="inlineStr">
        <is>
          <t>완박스를 표준박스로 매핑하지 않고 자체 출고 카톤으로 사용</t>
        </is>
      </c>
      <c r="S80" s="27" t="inlineStr">
        <is>
          <t>FBX042</t>
        </is>
      </c>
      <c r="T80" s="27" t="inlineStr">
        <is>
          <t>완박스 46x37x32</t>
        </is>
      </c>
      <c r="U80" s="27" t="inlineStr">
        <is>
          <t>Y</t>
        </is>
      </c>
      <c r="V80" s="27" t="inlineStr">
        <is>
          <t>FBG023</t>
        </is>
      </c>
    </row>
    <row r="81">
      <c r="A81" s="26" t="inlineStr">
        <is>
          <t>A200450</t>
        </is>
      </c>
      <c r="B81" s="26" t="inlineStr">
        <is>
          <t>리체스 소프트 리도(C)</t>
        </is>
      </c>
      <c r="C81" s="24" t="n">
        <v>100</v>
      </c>
      <c r="D81" s="24" t="n">
        <v>45</v>
      </c>
      <c r="E81" s="24" t="n">
        <v>37</v>
      </c>
      <c r="F81" s="24" t="n">
        <v>32</v>
      </c>
      <c r="G81" s="60" t="n">
        <v>6.3</v>
      </c>
      <c r="H81" s="24" t="n">
        <v>1</v>
      </c>
      <c r="I81" s="25" t="inlineStr">
        <is>
          <t>Y</t>
        </is>
      </c>
      <c r="J81" s="26" t="inlineStr">
        <is>
          <t>완박스 정보.xlsx</t>
        </is>
      </c>
      <c r="K81" s="26" t="inlineStr">
        <is>
          <t>FBX034</t>
        </is>
      </c>
      <c r="L81" s="26" t="inlineStr">
        <is>
          <t>OWN_CARTON</t>
        </is>
      </c>
      <c r="M81" s="26" t="inlineStr">
        <is>
          <t>FULLBOX_CARTON</t>
        </is>
      </c>
      <c r="N81" s="25" t="inlineStr">
        <is>
          <t>N</t>
        </is>
      </c>
      <c r="O81" s="26" t="n"/>
      <c r="P81" s="26" t="inlineStr">
        <is>
          <t>REMAINDER_TO_REPACK</t>
        </is>
      </c>
      <c r="Q81" s="25" t="inlineStr">
        <is>
          <t>OK</t>
        </is>
      </c>
      <c r="R81" s="26" t="inlineStr">
        <is>
          <t>완박스를 표준박스로 매핑하지 않고 자체 출고 카톤으로 사용</t>
        </is>
      </c>
      <c r="S81" s="27" t="inlineStr">
        <is>
          <t>FBX034</t>
        </is>
      </c>
      <c r="T81" s="27" t="inlineStr">
        <is>
          <t>완박스 45x37x32</t>
        </is>
      </c>
      <c r="U81" s="27" t="inlineStr">
        <is>
          <t>Y</t>
        </is>
      </c>
      <c r="V81" s="27" t="inlineStr">
        <is>
          <t>FBG023</t>
        </is>
      </c>
    </row>
    <row r="82">
      <c r="A82" s="26" t="inlineStr">
        <is>
          <t>A301015</t>
        </is>
      </c>
      <c r="B82" s="26" t="inlineStr">
        <is>
          <t>리체스 아이즈 (COS)</t>
        </is>
      </c>
      <c r="C82" s="24" t="n">
        <v>100</v>
      </c>
      <c r="D82" s="24" t="n">
        <v>45</v>
      </c>
      <c r="E82" s="24" t="n">
        <v>37</v>
      </c>
      <c r="F82" s="24" t="n">
        <v>32</v>
      </c>
      <c r="G82" s="60" t="n">
        <v>5.9</v>
      </c>
      <c r="H82" s="24" t="n">
        <v>1</v>
      </c>
      <c r="I82" s="25" t="inlineStr">
        <is>
          <t>Y</t>
        </is>
      </c>
      <c r="J82" s="26" t="inlineStr">
        <is>
          <t>완박스 정보.xlsx</t>
        </is>
      </c>
      <c r="K82" s="26" t="inlineStr">
        <is>
          <t>FBX032</t>
        </is>
      </c>
      <c r="L82" s="26" t="inlineStr">
        <is>
          <t>OWN_CARTON</t>
        </is>
      </c>
      <c r="M82" s="26" t="inlineStr">
        <is>
          <t>FULLBOX_CARTON</t>
        </is>
      </c>
      <c r="N82" s="25" t="inlineStr">
        <is>
          <t>N</t>
        </is>
      </c>
      <c r="O82" s="26" t="n"/>
      <c r="P82" s="26" t="inlineStr">
        <is>
          <t>REMAINDER_TO_REPACK</t>
        </is>
      </c>
      <c r="Q82" s="25" t="inlineStr">
        <is>
          <t>OK</t>
        </is>
      </c>
      <c r="R82" s="26" t="inlineStr">
        <is>
          <t>완박스를 표준박스로 매핑하지 않고 자체 출고 카톤으로 사용</t>
        </is>
      </c>
      <c r="S82" s="27" t="inlineStr">
        <is>
          <t>FBX032</t>
        </is>
      </c>
      <c r="T82" s="27" t="inlineStr">
        <is>
          <t>완박스 45x37x32</t>
        </is>
      </c>
      <c r="U82" s="27" t="inlineStr">
        <is>
          <t>Y</t>
        </is>
      </c>
      <c r="V82" s="27" t="inlineStr">
        <is>
          <t>FBG023</t>
        </is>
      </c>
    </row>
    <row r="83" ht="30" customHeight="1" s="42">
      <c r="A83" s="26" t="inlineStr">
        <is>
          <t>A200433</t>
        </is>
      </c>
      <c r="B83" s="26" t="inlineStr">
        <is>
          <t>리체스 울트라 리도(2sy C)</t>
        </is>
      </c>
      <c r="C83" s="24" t="n">
        <v>57</v>
      </c>
      <c r="D83" s="24" t="n">
        <v>46</v>
      </c>
      <c r="E83" s="24" t="n">
        <v>37</v>
      </c>
      <c r="F83" s="24" t="n">
        <v>32</v>
      </c>
      <c r="G83" s="60" t="n">
        <v>6.1</v>
      </c>
      <c r="H83" s="24" t="n">
        <v>1</v>
      </c>
      <c r="I83" s="25" t="inlineStr">
        <is>
          <t>Y</t>
        </is>
      </c>
      <c r="J83" s="26" t="inlineStr">
        <is>
          <t>완박스 정보.xlsx</t>
        </is>
      </c>
      <c r="K83" s="26" t="inlineStr">
        <is>
          <t>FBX042</t>
        </is>
      </c>
      <c r="L83" s="26" t="inlineStr">
        <is>
          <t>OWN_CARTON</t>
        </is>
      </c>
      <c r="M83" s="26" t="inlineStr">
        <is>
          <t>FULLBOX_CARTON</t>
        </is>
      </c>
      <c r="N83" s="25" t="inlineStr">
        <is>
          <t>N</t>
        </is>
      </c>
      <c r="O83" s="26" t="n"/>
      <c r="P83" s="26" t="inlineStr">
        <is>
          <t>REMAINDER_TO_REPACK</t>
        </is>
      </c>
      <c r="Q83" s="25" t="inlineStr">
        <is>
          <t>OK</t>
        </is>
      </c>
      <c r="R83" s="26" t="inlineStr">
        <is>
          <t>완박스를 표준박스로 매핑하지 않고 자체 출고 카톤으로 사용</t>
        </is>
      </c>
      <c r="S83" s="27" t="inlineStr">
        <is>
          <t>FBX042</t>
        </is>
      </c>
      <c r="T83" s="27" t="inlineStr">
        <is>
          <t>완박스 46x37x32</t>
        </is>
      </c>
      <c r="U83" s="27" t="inlineStr">
        <is>
          <t>Y</t>
        </is>
      </c>
      <c r="V83" s="27" t="inlineStr">
        <is>
          <t>FBG023</t>
        </is>
      </c>
    </row>
    <row r="84" ht="30" customHeight="1" s="42">
      <c r="A84" s="26" t="inlineStr">
        <is>
          <t>A200438</t>
        </is>
      </c>
      <c r="B84" s="26" t="inlineStr">
        <is>
          <t>리체스 울트라 리도(C)</t>
        </is>
      </c>
      <c r="C84" s="24" t="n">
        <v>100</v>
      </c>
      <c r="D84" s="24" t="n">
        <v>45</v>
      </c>
      <c r="E84" s="24" t="n">
        <v>37</v>
      </c>
      <c r="F84" s="24" t="n">
        <v>32</v>
      </c>
      <c r="G84" s="60" t="n">
        <v>6.3</v>
      </c>
      <c r="H84" s="24" t="n">
        <v>1</v>
      </c>
      <c r="I84" s="25" t="inlineStr">
        <is>
          <t>Y</t>
        </is>
      </c>
      <c r="J84" s="26" t="inlineStr">
        <is>
          <t>완박스 정보.xlsx</t>
        </is>
      </c>
      <c r="K84" s="26" t="inlineStr">
        <is>
          <t>FBX034</t>
        </is>
      </c>
      <c r="L84" s="26" t="inlineStr">
        <is>
          <t>OWN_CARTON</t>
        </is>
      </c>
      <c r="M84" s="26" t="inlineStr">
        <is>
          <t>FULLBOX_CARTON</t>
        </is>
      </c>
      <c r="N84" s="25" t="inlineStr">
        <is>
          <t>N</t>
        </is>
      </c>
      <c r="O84" s="26" t="n"/>
      <c r="P84" s="26" t="inlineStr">
        <is>
          <t>REMAINDER_TO_REPACK</t>
        </is>
      </c>
      <c r="Q84" s="25" t="inlineStr">
        <is>
          <t>OK</t>
        </is>
      </c>
      <c r="R84" s="26" t="inlineStr">
        <is>
          <t>완박스를 표준박스로 매핑하지 않고 자체 출고 카톤으로 사용</t>
        </is>
      </c>
      <c r="S84" s="27" t="inlineStr">
        <is>
          <t>FBX034</t>
        </is>
      </c>
      <c r="T84" s="27" t="inlineStr">
        <is>
          <t>완박스 45x37x32</t>
        </is>
      </c>
      <c r="U84" s="27" t="inlineStr">
        <is>
          <t>Y</t>
        </is>
      </c>
      <c r="V84" s="27" t="inlineStr">
        <is>
          <t>FBG023</t>
        </is>
      </c>
    </row>
    <row r="85">
      <c r="A85" s="26" t="inlineStr">
        <is>
          <t>A200435</t>
        </is>
      </c>
      <c r="B85" s="26" t="inlineStr">
        <is>
          <t>리체스 임플란트 리도(2sy C)</t>
        </is>
      </c>
      <c r="C85" s="24" t="n">
        <v>57</v>
      </c>
      <c r="D85" s="24" t="n">
        <v>46</v>
      </c>
      <c r="E85" s="24" t="n">
        <v>37</v>
      </c>
      <c r="F85" s="24" t="n">
        <v>32</v>
      </c>
      <c r="G85" s="60" t="n">
        <v>6.1</v>
      </c>
      <c r="H85" s="24" t="n">
        <v>1</v>
      </c>
      <c r="I85" s="25" t="inlineStr">
        <is>
          <t>Y</t>
        </is>
      </c>
      <c r="J85" s="26" t="inlineStr">
        <is>
          <t>완박스 정보.xlsx</t>
        </is>
      </c>
      <c r="K85" s="26" t="inlineStr">
        <is>
          <t>FBX042</t>
        </is>
      </c>
      <c r="L85" s="26" t="inlineStr">
        <is>
          <t>OWN_CARTON</t>
        </is>
      </c>
      <c r="M85" s="26" t="inlineStr">
        <is>
          <t>FULLBOX_CARTON</t>
        </is>
      </c>
      <c r="N85" s="25" t="inlineStr">
        <is>
          <t>N</t>
        </is>
      </c>
      <c r="O85" s="26" t="n"/>
      <c r="P85" s="26" t="inlineStr">
        <is>
          <t>REMAINDER_TO_REPACK</t>
        </is>
      </c>
      <c r="Q85" s="25" t="inlineStr">
        <is>
          <t>OK</t>
        </is>
      </c>
      <c r="R85" s="26" t="inlineStr">
        <is>
          <t>완박스를 표준박스로 매핑하지 않고 자체 출고 카톤으로 사용</t>
        </is>
      </c>
      <c r="S85" s="27" t="inlineStr">
        <is>
          <t>FBX042</t>
        </is>
      </c>
      <c r="T85" s="27" t="inlineStr">
        <is>
          <t>완박스 46x37x32</t>
        </is>
      </c>
      <c r="U85" s="27" t="inlineStr">
        <is>
          <t>Y</t>
        </is>
      </c>
      <c r="V85" s="27" t="inlineStr">
        <is>
          <t>FBG023</t>
        </is>
      </c>
    </row>
    <row r="86">
      <c r="A86" s="26" t="inlineStr">
        <is>
          <t>A200440</t>
        </is>
      </c>
      <c r="B86" s="26" t="inlineStr">
        <is>
          <t>리체스 임플란트 리도(C)</t>
        </is>
      </c>
      <c r="C86" s="24" t="n">
        <v>100</v>
      </c>
      <c r="D86" s="24" t="n">
        <v>45</v>
      </c>
      <c r="E86" s="24" t="n">
        <v>37</v>
      </c>
      <c r="F86" s="24" t="n">
        <v>32</v>
      </c>
      <c r="G86" s="60" t="n">
        <v>6.3</v>
      </c>
      <c r="H86" s="24" t="n">
        <v>1</v>
      </c>
      <c r="I86" s="25" t="inlineStr">
        <is>
          <t>Y</t>
        </is>
      </c>
      <c r="J86" s="26" t="inlineStr">
        <is>
          <t>완박스 정보.xlsx</t>
        </is>
      </c>
      <c r="K86" s="26" t="inlineStr">
        <is>
          <t>FBX034</t>
        </is>
      </c>
      <c r="L86" s="26" t="inlineStr">
        <is>
          <t>OWN_CARTON</t>
        </is>
      </c>
      <c r="M86" s="26" t="inlineStr">
        <is>
          <t>FULLBOX_CARTON</t>
        </is>
      </c>
      <c r="N86" s="25" t="inlineStr">
        <is>
          <t>N</t>
        </is>
      </c>
      <c r="O86" s="26" t="n"/>
      <c r="P86" s="26" t="inlineStr">
        <is>
          <t>REMAINDER_TO_REPACK</t>
        </is>
      </c>
      <c r="Q86" s="25" t="inlineStr">
        <is>
          <t>OK</t>
        </is>
      </c>
      <c r="R86" s="26" t="inlineStr">
        <is>
          <t>완박스를 표준박스로 매핑하지 않고 자체 출고 카톤으로 사용</t>
        </is>
      </c>
      <c r="S86" s="27" t="inlineStr">
        <is>
          <t>FBX034</t>
        </is>
      </c>
      <c r="T86" s="27" t="inlineStr">
        <is>
          <t>완박스 45x37x32</t>
        </is>
      </c>
      <c r="U86" s="27" t="inlineStr">
        <is>
          <t>Y</t>
        </is>
      </c>
      <c r="V86" s="27" t="inlineStr">
        <is>
          <t>FBG023</t>
        </is>
      </c>
    </row>
    <row r="87">
      <c r="A87" s="26" t="inlineStr">
        <is>
          <t>A301050</t>
        </is>
      </c>
      <c r="B87" s="26" t="inlineStr">
        <is>
          <t>리체스 페이스</t>
        </is>
      </c>
      <c r="C87" s="24" t="n">
        <v>100</v>
      </c>
      <c r="D87" s="24" t="n">
        <v>45</v>
      </c>
      <c r="E87" s="24" t="n">
        <v>37</v>
      </c>
      <c r="F87" s="24" t="n">
        <v>32</v>
      </c>
      <c r="G87" s="60" t="n">
        <v>6.3</v>
      </c>
      <c r="H87" s="24" t="n">
        <v>1</v>
      </c>
      <c r="I87" s="25" t="inlineStr">
        <is>
          <t>Y</t>
        </is>
      </c>
      <c r="J87" s="26" t="inlineStr">
        <is>
          <t>완박스 정보.xlsx</t>
        </is>
      </c>
      <c r="K87" s="26" t="inlineStr">
        <is>
          <t>FBX034</t>
        </is>
      </c>
      <c r="L87" s="26" t="inlineStr">
        <is>
          <t>OWN_CARTON</t>
        </is>
      </c>
      <c r="M87" s="26" t="inlineStr">
        <is>
          <t>FULLBOX_CARTON</t>
        </is>
      </c>
      <c r="N87" s="25" t="inlineStr">
        <is>
          <t>N</t>
        </is>
      </c>
      <c r="O87" s="26" t="n"/>
      <c r="P87" s="26" t="inlineStr">
        <is>
          <t>REMAINDER_TO_REPACK</t>
        </is>
      </c>
      <c r="Q87" s="25" t="inlineStr">
        <is>
          <t>OK</t>
        </is>
      </c>
      <c r="R87" s="26" t="inlineStr">
        <is>
          <t>완박스를 표준박스로 매핑하지 않고 자체 출고 카톤으로 사용</t>
        </is>
      </c>
      <c r="S87" s="27" t="inlineStr">
        <is>
          <t>FBX034</t>
        </is>
      </c>
      <c r="T87" s="27" t="inlineStr">
        <is>
          <t>완박스 45x37x32</t>
        </is>
      </c>
      <c r="U87" s="27" t="inlineStr">
        <is>
          <t>Y</t>
        </is>
      </c>
      <c r="V87" s="27" t="inlineStr">
        <is>
          <t>FBG023</t>
        </is>
      </c>
    </row>
    <row r="88">
      <c r="A88" s="26" t="inlineStr">
        <is>
          <t>A301055</t>
        </is>
      </c>
      <c r="B88" s="26" t="inlineStr">
        <is>
          <t>리체스 하이로 프로 with PN</t>
        </is>
      </c>
      <c r="C88" s="24" t="n">
        <v>100</v>
      </c>
      <c r="D88" s="24" t="n">
        <v>46</v>
      </c>
      <c r="E88" s="24" t="n">
        <v>37</v>
      </c>
      <c r="F88" s="24" t="n">
        <v>32</v>
      </c>
      <c r="G88" s="60" t="n">
        <v>6.3</v>
      </c>
      <c r="H88" s="24" t="n">
        <v>1</v>
      </c>
      <c r="I88" s="25" t="inlineStr">
        <is>
          <t>Y</t>
        </is>
      </c>
      <c r="J88" s="26" t="inlineStr">
        <is>
          <t>완박스 정보.xlsx</t>
        </is>
      </c>
      <c r="K88" s="26" t="inlineStr">
        <is>
          <t>FBX044</t>
        </is>
      </c>
      <c r="L88" s="26" t="inlineStr">
        <is>
          <t>OWN_CARTON</t>
        </is>
      </c>
      <c r="M88" s="26" t="inlineStr">
        <is>
          <t>FULLBOX_CARTON</t>
        </is>
      </c>
      <c r="N88" s="25" t="inlineStr">
        <is>
          <t>N</t>
        </is>
      </c>
      <c r="O88" s="26" t="n"/>
      <c r="P88" s="26" t="inlineStr">
        <is>
          <t>REMAINDER_TO_REPACK</t>
        </is>
      </c>
      <c r="Q88" s="25" t="inlineStr">
        <is>
          <t>OK</t>
        </is>
      </c>
      <c r="R88" s="26" t="inlineStr">
        <is>
          <t>완박스를 표준박스로 매핑하지 않고 자체 출고 카톤으로 사용</t>
        </is>
      </c>
      <c r="S88" s="27" t="inlineStr">
        <is>
          <t>FBX044</t>
        </is>
      </c>
      <c r="T88" s="27" t="inlineStr">
        <is>
          <t>완박스 46x37x32</t>
        </is>
      </c>
      <c r="U88" s="27" t="inlineStr">
        <is>
          <t>Y</t>
        </is>
      </c>
      <c r="V88" s="27" t="inlineStr">
        <is>
          <t>FBG023</t>
        </is>
      </c>
    </row>
    <row r="89">
      <c r="A89" s="22" t="inlineStr">
        <is>
          <t>A200402</t>
        </is>
      </c>
      <c r="B89" s="22" t="inlineStr">
        <is>
          <t>리체스 라이트</t>
        </is>
      </c>
      <c r="C89" s="23" t="n">
        <v>100</v>
      </c>
      <c r="D89" s="23" t="n">
        <v>46</v>
      </c>
      <c r="E89" s="23" t="n">
        <v>37</v>
      </c>
      <c r="F89" s="23" t="n">
        <v>32</v>
      </c>
      <c r="G89" s="23" t="n">
        <v>6.2</v>
      </c>
      <c r="H89" s="24" t="n">
        <v>1</v>
      </c>
      <c r="I89" s="25" t="inlineStr">
        <is>
          <t>Y</t>
        </is>
      </c>
      <c r="J89" s="26" t="inlineStr">
        <is>
          <t>완박스 정보.xlsx</t>
        </is>
      </c>
      <c r="K89" s="22" t="inlineStr">
        <is>
          <t>FBX043</t>
        </is>
      </c>
      <c r="L89" s="26" t="inlineStr">
        <is>
          <t>OWN_CARTON</t>
        </is>
      </c>
      <c r="M89" s="26" t="inlineStr">
        <is>
          <t>FULLBOX_CARTON</t>
        </is>
      </c>
      <c r="N89" s="25" t="inlineStr">
        <is>
          <t>N</t>
        </is>
      </c>
      <c r="O89" s="22" t="n"/>
      <c r="P89" s="26" t="inlineStr">
        <is>
          <t>REMAINDER_TO_REPACK</t>
        </is>
      </c>
      <c r="Q89" s="25" t="inlineStr">
        <is>
          <t>OK</t>
        </is>
      </c>
      <c r="R89" s="26" t="inlineStr">
        <is>
          <t>완박스를 표준박스로 매핑하지 않고 자체 출고 카톤으로 사용</t>
        </is>
      </c>
      <c r="S89" s="22" t="inlineStr">
        <is>
          <t>FBX043</t>
        </is>
      </c>
      <c r="T89" s="22" t="inlineStr">
        <is>
          <t>완박스 46x37x32</t>
        </is>
      </c>
      <c r="U89" s="27" t="inlineStr">
        <is>
          <t>Y</t>
        </is>
      </c>
      <c r="V89" s="22" t="inlineStr">
        <is>
          <t>FBG023</t>
        </is>
      </c>
    </row>
    <row r="90">
      <c r="A90" s="26" t="inlineStr">
        <is>
          <t>B302810</t>
        </is>
      </c>
      <c r="B90" s="26" t="inlineStr">
        <is>
          <t>리포랩 바디 (GMS)</t>
        </is>
      </c>
      <c r="C90" s="24" t="n">
        <v>50</v>
      </c>
      <c r="D90" s="60" t="n">
        <v>45.5</v>
      </c>
      <c r="E90" s="24" t="n">
        <v>39</v>
      </c>
      <c r="F90" s="24" t="n">
        <v>37</v>
      </c>
      <c r="G90" s="60" t="n">
        <v>17.9</v>
      </c>
      <c r="H90" s="24" t="n">
        <v>1</v>
      </c>
      <c r="I90" s="25" t="inlineStr">
        <is>
          <t>Y</t>
        </is>
      </c>
      <c r="J90" s="26" t="inlineStr">
        <is>
          <t>완박스 정보.xlsx</t>
        </is>
      </c>
      <c r="K90" s="26" t="inlineStr">
        <is>
          <t>FBX040</t>
        </is>
      </c>
      <c r="L90" s="26" t="inlineStr">
        <is>
          <t>OWN_CARTON</t>
        </is>
      </c>
      <c r="M90" s="26" t="inlineStr">
        <is>
          <t>FULLBOX_CARTON</t>
        </is>
      </c>
      <c r="N90" s="25" t="inlineStr">
        <is>
          <t>N</t>
        </is>
      </c>
      <c r="O90" s="26" t="n"/>
      <c r="P90" s="26" t="inlineStr">
        <is>
          <t>REMAINDER_TO_REPACK</t>
        </is>
      </c>
      <c r="Q90" s="25" t="inlineStr">
        <is>
          <t>OK</t>
        </is>
      </c>
      <c r="R90" s="26" t="inlineStr">
        <is>
          <t>완박스를 표준박스로 매핑하지 않고 자체 출고 카톤으로 사용</t>
        </is>
      </c>
      <c r="S90" s="27" t="inlineStr">
        <is>
          <t>FBX040</t>
        </is>
      </c>
      <c r="T90" s="27" t="inlineStr">
        <is>
          <t>완박스 45.5x39x37</t>
        </is>
      </c>
      <c r="U90" s="27" t="inlineStr">
        <is>
          <t>Y</t>
        </is>
      </c>
      <c r="V90" s="27" t="inlineStr">
        <is>
          <t>FBG078</t>
        </is>
      </c>
    </row>
    <row r="91">
      <c r="A91" s="26" t="inlineStr">
        <is>
          <t>B302910</t>
        </is>
      </c>
      <c r="B91" s="26" t="inlineStr">
        <is>
          <t>리포랩 바디 (메디허브)</t>
        </is>
      </c>
      <c r="C91" s="24" t="n">
        <v>50</v>
      </c>
      <c r="D91" s="24" t="n">
        <v>72</v>
      </c>
      <c r="E91" s="24" t="n">
        <v>46</v>
      </c>
      <c r="F91" s="24" t="n">
        <v>17</v>
      </c>
      <c r="G91" s="60" t="n">
        <v>15.95</v>
      </c>
      <c r="H91" s="24" t="n">
        <v>1</v>
      </c>
      <c r="I91" s="25" t="inlineStr">
        <is>
          <t>Y</t>
        </is>
      </c>
      <c r="J91" s="26" t="inlineStr">
        <is>
          <t>완박스 정보.xlsx</t>
        </is>
      </c>
      <c r="K91" s="26" t="inlineStr">
        <is>
          <t>FBX092</t>
        </is>
      </c>
      <c r="L91" s="26" t="inlineStr">
        <is>
          <t>OWN_CARTON</t>
        </is>
      </c>
      <c r="M91" s="26" t="inlineStr">
        <is>
          <t>FULLBOX_CARTON</t>
        </is>
      </c>
      <c r="N91" s="25" t="inlineStr">
        <is>
          <t>N</t>
        </is>
      </c>
      <c r="O91" s="26" t="n"/>
      <c r="P91" s="26" t="inlineStr">
        <is>
          <t>REMAINDER_TO_REPACK</t>
        </is>
      </c>
      <c r="Q91" s="25" t="inlineStr">
        <is>
          <t>OK</t>
        </is>
      </c>
      <c r="R91" s="26" t="inlineStr">
        <is>
          <t>완박스를 표준박스로 매핑하지 않고 자체 출고 카톤으로 사용</t>
        </is>
      </c>
      <c r="S91" s="27" t="inlineStr">
        <is>
          <t>FBX092</t>
        </is>
      </c>
      <c r="T91" s="27" t="inlineStr">
        <is>
          <t>완박스 72x46x17</t>
        </is>
      </c>
      <c r="U91" s="27" t="inlineStr">
        <is>
          <t>Y</t>
        </is>
      </c>
      <c r="V91" s="27" t="inlineStr">
        <is>
          <t>FBG087</t>
        </is>
      </c>
    </row>
    <row r="92">
      <c r="A92" s="26" t="inlineStr">
        <is>
          <t>B302920</t>
        </is>
      </c>
      <c r="B92" s="26" t="inlineStr">
        <is>
          <t>리포랩 브이라인 (메디허브)</t>
        </is>
      </c>
      <c r="C92" s="24" t="n">
        <v>50</v>
      </c>
      <c r="D92" s="24" t="n">
        <v>47</v>
      </c>
      <c r="E92" s="60" t="n">
        <v>39.5</v>
      </c>
      <c r="F92" s="24" t="n">
        <v>28</v>
      </c>
      <c r="G92" s="60" t="n">
        <v>12.6</v>
      </c>
      <c r="H92" s="24" t="n">
        <v>1</v>
      </c>
      <c r="I92" s="25" t="inlineStr">
        <is>
          <t>Y</t>
        </is>
      </c>
      <c r="J92" s="26" t="inlineStr">
        <is>
          <t>완박스 정보.xlsx</t>
        </is>
      </c>
      <c r="K92" s="26" t="inlineStr">
        <is>
          <t>FBX051</t>
        </is>
      </c>
      <c r="L92" s="26" t="inlineStr">
        <is>
          <t>OWN_CARTON</t>
        </is>
      </c>
      <c r="M92" s="26" t="inlineStr">
        <is>
          <t>FULLBOX_CARTON</t>
        </is>
      </c>
      <c r="N92" s="25" t="inlineStr">
        <is>
          <t>N</t>
        </is>
      </c>
      <c r="O92" s="26" t="n"/>
      <c r="P92" s="26" t="inlineStr">
        <is>
          <t>REMAINDER_TO_REPACK</t>
        </is>
      </c>
      <c r="Q92" s="25" t="inlineStr">
        <is>
          <t>OK</t>
        </is>
      </c>
      <c r="R92" s="26" t="inlineStr">
        <is>
          <t>완박스를 표준박스로 매핑하지 않고 자체 출고 카톤으로 사용</t>
        </is>
      </c>
      <c r="S92" s="27" t="inlineStr">
        <is>
          <t>FBX051</t>
        </is>
      </c>
      <c r="T92" s="27" t="inlineStr">
        <is>
          <t>완박스 47x39.5x28</t>
        </is>
      </c>
      <c r="U92" s="27" t="inlineStr">
        <is>
          <t>Y</t>
        </is>
      </c>
      <c r="V92" s="27" t="inlineStr">
        <is>
          <t>FBG080</t>
        </is>
      </c>
    </row>
    <row r="93">
      <c r="A93" s="26" t="inlineStr">
        <is>
          <t>A301080</t>
        </is>
      </c>
      <c r="B93" s="26" t="inlineStr">
        <is>
          <t xml:space="preserve">리포원 브이라인 </t>
        </is>
      </c>
      <c r="C93" s="24" t="n">
        <v>50</v>
      </c>
      <c r="D93" s="24" t="n">
        <v>46</v>
      </c>
      <c r="E93" s="24" t="n">
        <v>39</v>
      </c>
      <c r="F93" s="24" t="n">
        <v>37</v>
      </c>
      <c r="G93" s="60" t="n">
        <v>17.3</v>
      </c>
      <c r="H93" s="24" t="n">
        <v>1</v>
      </c>
      <c r="I93" s="25" t="inlineStr">
        <is>
          <t>Y</t>
        </is>
      </c>
      <c r="J93" s="26" t="inlineStr">
        <is>
          <t>완박스 정보.xlsx</t>
        </is>
      </c>
      <c r="K93" s="26" t="inlineStr">
        <is>
          <t>FBX049</t>
        </is>
      </c>
      <c r="L93" s="26" t="inlineStr">
        <is>
          <t>OWN_CARTON</t>
        </is>
      </c>
      <c r="M93" s="26" t="inlineStr">
        <is>
          <t>FULLBOX_CARTON</t>
        </is>
      </c>
      <c r="N93" s="25" t="inlineStr">
        <is>
          <t>N</t>
        </is>
      </c>
      <c r="O93" s="26" t="n"/>
      <c r="P93" s="26" t="inlineStr">
        <is>
          <t>REMAINDER_TO_REPACK</t>
        </is>
      </c>
      <c r="Q93" s="25" t="inlineStr">
        <is>
          <t>OK</t>
        </is>
      </c>
      <c r="R93" s="26" t="inlineStr">
        <is>
          <t>완박스를 표준박스로 매핑하지 않고 자체 출고 카톤으로 사용</t>
        </is>
      </c>
      <c r="S93" s="27" t="inlineStr">
        <is>
          <t>FBX049</t>
        </is>
      </c>
      <c r="T93" s="27" t="inlineStr">
        <is>
          <t>완박스 46x39x37</t>
        </is>
      </c>
      <c r="U93" s="27" t="inlineStr">
        <is>
          <t>Y</t>
        </is>
      </c>
      <c r="V93" s="27" t="inlineStr">
        <is>
          <t>FBG078</t>
        </is>
      </c>
    </row>
    <row r="94">
      <c r="A94" s="26" t="inlineStr">
        <is>
          <t>A301070</t>
        </is>
      </c>
      <c r="B94" s="26" t="inlineStr">
        <is>
          <t>리포원 프리미엄</t>
        </is>
      </c>
      <c r="C94" s="24" t="n">
        <v>50</v>
      </c>
      <c r="D94" s="60" t="n">
        <v>45.5</v>
      </c>
      <c r="E94" s="24" t="n">
        <v>39</v>
      </c>
      <c r="F94" s="24" t="n">
        <v>37</v>
      </c>
      <c r="G94" s="60" t="n">
        <v>17.6</v>
      </c>
      <c r="H94" s="24" t="n">
        <v>1</v>
      </c>
      <c r="I94" s="25" t="inlineStr">
        <is>
          <t>Y</t>
        </is>
      </c>
      <c r="J94" s="26" t="inlineStr">
        <is>
          <t>완박스 정보.xlsx</t>
        </is>
      </c>
      <c r="K94" s="26" t="inlineStr">
        <is>
          <t>FBX039</t>
        </is>
      </c>
      <c r="L94" s="26" t="inlineStr">
        <is>
          <t>OWN_CARTON</t>
        </is>
      </c>
      <c r="M94" s="26" t="inlineStr">
        <is>
          <t>FULLBOX_CARTON</t>
        </is>
      </c>
      <c r="N94" s="25" t="inlineStr">
        <is>
          <t>N</t>
        </is>
      </c>
      <c r="O94" s="26" t="n"/>
      <c r="P94" s="26" t="inlineStr">
        <is>
          <t>REMAINDER_TO_REPACK</t>
        </is>
      </c>
      <c r="Q94" s="25" t="inlineStr">
        <is>
          <t>OK</t>
        </is>
      </c>
      <c r="R94" s="26" t="inlineStr">
        <is>
          <t>완박스를 표준박스로 매핑하지 않고 자체 출고 카톤으로 사용</t>
        </is>
      </c>
      <c r="S94" s="27" t="inlineStr">
        <is>
          <t>FBX039</t>
        </is>
      </c>
      <c r="T94" s="27" t="inlineStr">
        <is>
          <t>완박스 45.5x39x37</t>
        </is>
      </c>
      <c r="U94" s="27" t="inlineStr">
        <is>
          <t>Y</t>
        </is>
      </c>
      <c r="V94" s="27" t="inlineStr">
        <is>
          <t>FBG078</t>
        </is>
      </c>
    </row>
    <row r="95">
      <c r="A95" s="26" t="inlineStr">
        <is>
          <t>B202030</t>
        </is>
      </c>
      <c r="B95" s="26" t="inlineStr">
        <is>
          <t>리플렌젠 딥</t>
        </is>
      </c>
      <c r="C95" s="24" t="n">
        <v>100</v>
      </c>
      <c r="D95" s="24" t="n">
        <v>45</v>
      </c>
      <c r="E95" s="24" t="n">
        <v>37</v>
      </c>
      <c r="F95" s="24" t="n">
        <v>32</v>
      </c>
      <c r="G95" s="60" t="n">
        <v>6.4</v>
      </c>
      <c r="H95" s="24" t="n">
        <v>1</v>
      </c>
      <c r="I95" s="25" t="inlineStr">
        <is>
          <t>Y</t>
        </is>
      </c>
      <c r="J95" s="26" t="inlineStr">
        <is>
          <t>완박스 정보.xlsx</t>
        </is>
      </c>
      <c r="K95" s="26" t="inlineStr">
        <is>
          <t>FBX035</t>
        </is>
      </c>
      <c r="L95" s="26" t="inlineStr">
        <is>
          <t>OWN_CARTON</t>
        </is>
      </c>
      <c r="M95" s="26" t="inlineStr">
        <is>
          <t>FULLBOX_CARTON</t>
        </is>
      </c>
      <c r="N95" s="25" t="inlineStr">
        <is>
          <t>N</t>
        </is>
      </c>
      <c r="O95" s="26" t="n"/>
      <c r="P95" s="26" t="inlineStr">
        <is>
          <t>REMAINDER_TO_REPACK</t>
        </is>
      </c>
      <c r="Q95" s="25" t="inlineStr">
        <is>
          <t>OK</t>
        </is>
      </c>
      <c r="R95" s="26" t="inlineStr">
        <is>
          <t>완박스를 표준박스로 매핑하지 않고 자체 출고 카톤으로 사용</t>
        </is>
      </c>
      <c r="S95" s="27" t="inlineStr">
        <is>
          <t>FBX035</t>
        </is>
      </c>
      <c r="T95" s="27" t="inlineStr">
        <is>
          <t>완박스 45x37x32</t>
        </is>
      </c>
      <c r="U95" s="27" t="inlineStr">
        <is>
          <t>Y</t>
        </is>
      </c>
      <c r="V95" s="27" t="inlineStr">
        <is>
          <t>FBG023</t>
        </is>
      </c>
    </row>
    <row r="96" ht="30" customHeight="1" s="42">
      <c r="A96" s="26" t="inlineStr">
        <is>
          <t>B202020</t>
        </is>
      </c>
      <c r="B96" s="26" t="inlineStr">
        <is>
          <t>리플렌젠 볼륨</t>
        </is>
      </c>
      <c r="C96" s="24" t="n">
        <v>100</v>
      </c>
      <c r="D96" s="24" t="n">
        <v>45</v>
      </c>
      <c r="E96" s="24" t="n">
        <v>37</v>
      </c>
      <c r="F96" s="24" t="n">
        <v>32</v>
      </c>
      <c r="G96" s="60" t="n">
        <v>6.4</v>
      </c>
      <c r="H96" s="24" t="n">
        <v>1</v>
      </c>
      <c r="I96" s="25" t="inlineStr">
        <is>
          <t>Y</t>
        </is>
      </c>
      <c r="J96" s="26" t="inlineStr">
        <is>
          <t>완박스 정보.xlsx</t>
        </is>
      </c>
      <c r="K96" s="26" t="inlineStr">
        <is>
          <t>FBX035</t>
        </is>
      </c>
      <c r="L96" s="26" t="inlineStr">
        <is>
          <t>OWN_CARTON</t>
        </is>
      </c>
      <c r="M96" s="26" t="inlineStr">
        <is>
          <t>FULLBOX_CARTON</t>
        </is>
      </c>
      <c r="N96" s="25" t="inlineStr">
        <is>
          <t>N</t>
        </is>
      </c>
      <c r="O96" s="26" t="n"/>
      <c r="P96" s="26" t="inlineStr">
        <is>
          <t>REMAINDER_TO_REPACK</t>
        </is>
      </c>
      <c r="Q96" s="25" t="inlineStr">
        <is>
          <t>OK</t>
        </is>
      </c>
      <c r="R96" s="26" t="inlineStr">
        <is>
          <t>완박스를 표준박스로 매핑하지 않고 자체 출고 카톤으로 사용</t>
        </is>
      </c>
      <c r="S96" s="27" t="inlineStr">
        <is>
          <t>FBX035</t>
        </is>
      </c>
      <c r="T96" s="27" t="inlineStr">
        <is>
          <t>완박스 45x37x32</t>
        </is>
      </c>
      <c r="U96" s="27" t="inlineStr">
        <is>
          <t>Y</t>
        </is>
      </c>
      <c r="V96" s="27" t="inlineStr">
        <is>
          <t>FBG023</t>
        </is>
      </c>
    </row>
    <row r="97" ht="30" customHeight="1" s="42">
      <c r="A97" s="26" t="inlineStr">
        <is>
          <t>B202010</t>
        </is>
      </c>
      <c r="B97" s="26" t="inlineStr">
        <is>
          <t>리플렌젠 임플란트</t>
        </is>
      </c>
      <c r="C97" s="24" t="n">
        <v>100</v>
      </c>
      <c r="D97" s="24" t="n">
        <v>45</v>
      </c>
      <c r="E97" s="24" t="n">
        <v>37</v>
      </c>
      <c r="F97" s="24" t="n">
        <v>32</v>
      </c>
      <c r="G97" s="60" t="n">
        <v>6.4</v>
      </c>
      <c r="H97" s="24" t="n">
        <v>1</v>
      </c>
      <c r="I97" s="25" t="inlineStr">
        <is>
          <t>Y</t>
        </is>
      </c>
      <c r="J97" s="26" t="inlineStr">
        <is>
          <t>완박스 정보.xlsx</t>
        </is>
      </c>
      <c r="K97" s="26" t="inlineStr">
        <is>
          <t>FBX035</t>
        </is>
      </c>
      <c r="L97" s="26" t="inlineStr">
        <is>
          <t>OWN_CARTON</t>
        </is>
      </c>
      <c r="M97" s="26" t="inlineStr">
        <is>
          <t>FULLBOX_CARTON</t>
        </is>
      </c>
      <c r="N97" s="25" t="inlineStr">
        <is>
          <t>N</t>
        </is>
      </c>
      <c r="O97" s="26" t="n"/>
      <c r="P97" s="26" t="inlineStr">
        <is>
          <t>REMAINDER_TO_REPACK</t>
        </is>
      </c>
      <c r="Q97" s="25" t="inlineStr">
        <is>
          <t>OK</t>
        </is>
      </c>
      <c r="R97" s="26" t="inlineStr">
        <is>
          <t>완박스를 표준박스로 매핑하지 않고 자체 출고 카톤으로 사용</t>
        </is>
      </c>
      <c r="S97" s="27" t="inlineStr">
        <is>
          <t>FBX035</t>
        </is>
      </c>
      <c r="T97" s="27" t="inlineStr">
        <is>
          <t>완박스 45x37x32</t>
        </is>
      </c>
      <c r="U97" s="27" t="inlineStr">
        <is>
          <t>Y</t>
        </is>
      </c>
      <c r="V97" s="27" t="inlineStr">
        <is>
          <t>FBG023</t>
        </is>
      </c>
    </row>
    <row r="98" ht="30" customHeight="1" s="42">
      <c r="A98" s="26" t="inlineStr">
        <is>
          <t>B202040</t>
        </is>
      </c>
      <c r="B98" s="26" t="inlineStr">
        <is>
          <t>리플렌젠 파인</t>
        </is>
      </c>
      <c r="C98" s="24" t="n">
        <v>100</v>
      </c>
      <c r="D98" s="24" t="n">
        <v>45</v>
      </c>
      <c r="E98" s="24" t="n">
        <v>37</v>
      </c>
      <c r="F98" s="24" t="n">
        <v>32</v>
      </c>
      <c r="G98" s="60" t="n">
        <v>6.4</v>
      </c>
      <c r="H98" s="24" t="n">
        <v>1</v>
      </c>
      <c r="I98" s="25" t="inlineStr">
        <is>
          <t>Y</t>
        </is>
      </c>
      <c r="J98" s="26" t="inlineStr">
        <is>
          <t>완박스 정보.xlsx</t>
        </is>
      </c>
      <c r="K98" s="26" t="inlineStr">
        <is>
          <t>FBX035</t>
        </is>
      </c>
      <c r="L98" s="26" t="inlineStr">
        <is>
          <t>OWN_CARTON</t>
        </is>
      </c>
      <c r="M98" s="26" t="inlineStr">
        <is>
          <t>FULLBOX_CARTON</t>
        </is>
      </c>
      <c r="N98" s="25" t="inlineStr">
        <is>
          <t>N</t>
        </is>
      </c>
      <c r="O98" s="26" t="n"/>
      <c r="P98" s="26" t="inlineStr">
        <is>
          <t>REMAINDER_TO_REPACK</t>
        </is>
      </c>
      <c r="Q98" s="25" t="inlineStr">
        <is>
          <t>OK</t>
        </is>
      </c>
      <c r="R98" s="26" t="inlineStr">
        <is>
          <t>완박스를 표준박스로 매핑하지 않고 자체 출고 카톤으로 사용</t>
        </is>
      </c>
      <c r="S98" s="27" t="inlineStr">
        <is>
          <t>FBX035</t>
        </is>
      </c>
      <c r="T98" s="27" t="inlineStr">
        <is>
          <t>완박스 45x37x32</t>
        </is>
      </c>
      <c r="U98" s="27" t="inlineStr">
        <is>
          <t>Y</t>
        </is>
      </c>
      <c r="V98" s="27" t="inlineStr">
        <is>
          <t>FBG023</t>
        </is>
      </c>
    </row>
    <row r="99">
      <c r="A99" s="26" t="inlineStr">
        <is>
          <t>B303110</t>
        </is>
      </c>
      <c r="B99" s="26" t="inlineStr">
        <is>
          <t>맥시필</t>
        </is>
      </c>
      <c r="C99" s="24" t="n">
        <v>100</v>
      </c>
      <c r="D99" s="24" t="n">
        <v>60</v>
      </c>
      <c r="E99" s="24" t="n">
        <v>44</v>
      </c>
      <c r="F99" s="24" t="n">
        <v>32</v>
      </c>
      <c r="G99" s="24" t="n">
        <v>26</v>
      </c>
      <c r="H99" s="24" t="n">
        <v>1</v>
      </c>
      <c r="I99" s="25" t="inlineStr">
        <is>
          <t>Y</t>
        </is>
      </c>
      <c r="J99" s="26" t="inlineStr">
        <is>
          <t>완박스 정보.xlsx</t>
        </is>
      </c>
      <c r="K99" s="26" t="inlineStr">
        <is>
          <t>FBX089</t>
        </is>
      </c>
      <c r="L99" s="26" t="inlineStr">
        <is>
          <t>OWN_CARTON</t>
        </is>
      </c>
      <c r="M99" s="26" t="inlineStr">
        <is>
          <t>FULLBOX_CARTON</t>
        </is>
      </c>
      <c r="N99" s="25" t="inlineStr">
        <is>
          <t>N</t>
        </is>
      </c>
      <c r="O99" s="26" t="n"/>
      <c r="P99" s="26" t="inlineStr">
        <is>
          <t>REMAINDER_TO_REPACK</t>
        </is>
      </c>
      <c r="Q99" s="25" t="inlineStr">
        <is>
          <t>OK</t>
        </is>
      </c>
      <c r="R99" s="26" t="inlineStr">
        <is>
          <t>완박스를 표준박스로 매핑하지 않고 자체 출고 카톤으로 사용</t>
        </is>
      </c>
      <c r="S99" s="27" t="inlineStr">
        <is>
          <t>FBX089</t>
        </is>
      </c>
      <c r="T99" s="27" t="inlineStr">
        <is>
          <t>완박스 60x44x32</t>
        </is>
      </c>
      <c r="U99" s="27" t="inlineStr">
        <is>
          <t>Y</t>
        </is>
      </c>
      <c r="V99" s="27" t="inlineStr">
        <is>
          <t>FBG033</t>
        </is>
      </c>
    </row>
    <row r="100">
      <c r="A100" s="26" t="inlineStr">
        <is>
          <t>B100610</t>
        </is>
      </c>
      <c r="B100" s="26" t="inlineStr">
        <is>
          <t>메디톡신100u</t>
        </is>
      </c>
      <c r="C100" s="24" t="n">
        <v>100</v>
      </c>
      <c r="D100" s="24" t="n">
        <v>34</v>
      </c>
      <c r="E100" s="24" t="n">
        <v>31</v>
      </c>
      <c r="F100" s="24" t="n">
        <v>16</v>
      </c>
      <c r="G100" s="60" t="n">
        <v>3.74</v>
      </c>
      <c r="H100" s="24" t="n">
        <v>1</v>
      </c>
      <c r="I100" s="25" t="inlineStr">
        <is>
          <t>Y</t>
        </is>
      </c>
      <c r="J100" s="26" t="inlineStr">
        <is>
          <t>완박스 정보.xlsx</t>
        </is>
      </c>
      <c r="K100" s="26" t="inlineStr">
        <is>
          <t>FBX003</t>
        </is>
      </c>
      <c r="L100" s="26" t="inlineStr">
        <is>
          <t>OWN_CARTON</t>
        </is>
      </c>
      <c r="M100" s="26" t="inlineStr">
        <is>
          <t>FULLBOX_CARTON</t>
        </is>
      </c>
      <c r="N100" s="25" t="inlineStr">
        <is>
          <t>N</t>
        </is>
      </c>
      <c r="O100" s="26" t="n"/>
      <c r="P100" s="26" t="inlineStr">
        <is>
          <t>REMAINDER_TO_REPACK</t>
        </is>
      </c>
      <c r="Q100" s="25" t="inlineStr">
        <is>
          <t>OK</t>
        </is>
      </c>
      <c r="R100" s="26" t="inlineStr">
        <is>
          <t>완박스를 표준박스로 매핑하지 않고 자체 출고 카톤으로 사용</t>
        </is>
      </c>
      <c r="S100" s="27" t="inlineStr">
        <is>
          <t>FBX003</t>
        </is>
      </c>
      <c r="T100" s="27" t="inlineStr">
        <is>
          <t>완박스 34x31x16</t>
        </is>
      </c>
      <c r="U100" s="27" t="inlineStr">
        <is>
          <t>Y</t>
        </is>
      </c>
      <c r="V100" s="27" t="inlineStr">
        <is>
          <t>FBG003</t>
        </is>
      </c>
    </row>
    <row r="101" ht="30" customHeight="1" s="42">
      <c r="A101" s="26" t="inlineStr">
        <is>
          <t>B100630</t>
        </is>
      </c>
      <c r="B101" s="26" t="inlineStr">
        <is>
          <t>메디톡신200u</t>
        </is>
      </c>
      <c r="C101" s="24" t="n">
        <v>100</v>
      </c>
      <c r="D101" s="24" t="n">
        <v>34</v>
      </c>
      <c r="E101" s="24" t="n">
        <v>31</v>
      </c>
      <c r="F101" s="24" t="n">
        <v>16</v>
      </c>
      <c r="G101" s="60" t="n">
        <v>3.74</v>
      </c>
      <c r="H101" s="24" t="n">
        <v>1</v>
      </c>
      <c r="I101" s="25" t="inlineStr">
        <is>
          <t>Y</t>
        </is>
      </c>
      <c r="J101" s="26" t="inlineStr">
        <is>
          <t>완박스 정보.xlsx</t>
        </is>
      </c>
      <c r="K101" s="26" t="inlineStr">
        <is>
          <t>FBX003</t>
        </is>
      </c>
      <c r="L101" s="26" t="inlineStr">
        <is>
          <t>OWN_CARTON</t>
        </is>
      </c>
      <c r="M101" s="26" t="inlineStr">
        <is>
          <t>FULLBOX_CARTON</t>
        </is>
      </c>
      <c r="N101" s="25" t="inlineStr">
        <is>
          <t>N</t>
        </is>
      </c>
      <c r="O101" s="26" t="n"/>
      <c r="P101" s="26" t="inlineStr">
        <is>
          <t>REMAINDER_TO_REPACK</t>
        </is>
      </c>
      <c r="Q101" s="25" t="inlineStr">
        <is>
          <t>OK</t>
        </is>
      </c>
      <c r="R101" s="26" t="inlineStr">
        <is>
          <t>완박스를 표준박스로 매핑하지 않고 자체 출고 카톤으로 사용</t>
        </is>
      </c>
      <c r="S101" s="27" t="inlineStr">
        <is>
          <t>FBX003</t>
        </is>
      </c>
      <c r="T101" s="27" t="inlineStr">
        <is>
          <t>완박스 34x31x16</t>
        </is>
      </c>
      <c r="U101" s="27" t="inlineStr">
        <is>
          <t>Y</t>
        </is>
      </c>
      <c r="V101" s="27" t="inlineStr">
        <is>
          <t>FBG003</t>
        </is>
      </c>
    </row>
    <row r="102">
      <c r="A102" s="26" t="inlineStr">
        <is>
          <t>B203230</t>
        </is>
      </c>
      <c r="B102" s="26" t="inlineStr">
        <is>
          <t>봄필러 라이트</t>
        </is>
      </c>
      <c r="C102" s="24" t="n">
        <v>83</v>
      </c>
      <c r="D102" s="24" t="n">
        <v>50</v>
      </c>
      <c r="E102" s="24" t="n">
        <v>44</v>
      </c>
      <c r="F102" s="24" t="n">
        <v>32</v>
      </c>
      <c r="G102" s="60" t="n">
        <v>6.32</v>
      </c>
      <c r="H102" s="24" t="n">
        <v>1</v>
      </c>
      <c r="I102" s="25" t="inlineStr">
        <is>
          <t>Y</t>
        </is>
      </c>
      <c r="J102" s="26" t="inlineStr">
        <is>
          <t>완박스 정보.xlsx</t>
        </is>
      </c>
      <c r="K102" s="26" t="inlineStr">
        <is>
          <t>FBX060</t>
        </is>
      </c>
      <c r="L102" s="26" t="inlineStr">
        <is>
          <t>OWN_CARTON</t>
        </is>
      </c>
      <c r="M102" s="26" t="inlineStr">
        <is>
          <t>FULLBOX_CARTON</t>
        </is>
      </c>
      <c r="N102" s="25" t="inlineStr">
        <is>
          <t>N</t>
        </is>
      </c>
      <c r="O102" s="26" t="n"/>
      <c r="P102" s="26" t="inlineStr">
        <is>
          <t>REMAINDER_TO_REPACK</t>
        </is>
      </c>
      <c r="Q102" s="25" t="inlineStr">
        <is>
          <t>OK</t>
        </is>
      </c>
      <c r="R102" s="26" t="inlineStr">
        <is>
          <t>완박스를 표준박스로 매핑하지 않고 자체 출고 카톤으로 사용</t>
        </is>
      </c>
      <c r="S102" s="27" t="inlineStr">
        <is>
          <t>FBX060</t>
        </is>
      </c>
      <c r="T102" s="27" t="inlineStr">
        <is>
          <t>완박스 50x44x32</t>
        </is>
      </c>
      <c r="U102" s="27" t="inlineStr">
        <is>
          <t>Y</t>
        </is>
      </c>
      <c r="V102" s="27" t="inlineStr">
        <is>
          <t>FBG094</t>
        </is>
      </c>
    </row>
    <row r="103" ht="30" customHeight="1" s="42">
      <c r="A103" s="26" t="inlineStr">
        <is>
          <t>B203210</t>
        </is>
      </c>
      <c r="B103" s="26" t="inlineStr">
        <is>
          <t>봄필러 볼륨</t>
        </is>
      </c>
      <c r="C103" s="24" t="n">
        <v>83</v>
      </c>
      <c r="D103" s="24" t="n">
        <v>50</v>
      </c>
      <c r="E103" s="24" t="n">
        <v>44</v>
      </c>
      <c r="F103" s="24" t="n">
        <v>32</v>
      </c>
      <c r="G103" s="60" t="n">
        <v>6.32</v>
      </c>
      <c r="H103" s="24" t="n">
        <v>1</v>
      </c>
      <c r="I103" s="25" t="inlineStr">
        <is>
          <t>Y</t>
        </is>
      </c>
      <c r="J103" s="26" t="inlineStr">
        <is>
          <t>완박스 정보.xlsx</t>
        </is>
      </c>
      <c r="K103" s="26" t="inlineStr">
        <is>
          <t>FBX060</t>
        </is>
      </c>
      <c r="L103" s="26" t="inlineStr">
        <is>
          <t>OWN_CARTON</t>
        </is>
      </c>
      <c r="M103" s="26" t="inlineStr">
        <is>
          <t>FULLBOX_CARTON</t>
        </is>
      </c>
      <c r="N103" s="25" t="inlineStr">
        <is>
          <t>N</t>
        </is>
      </c>
      <c r="O103" s="26" t="n"/>
      <c r="P103" s="26" t="inlineStr">
        <is>
          <t>REMAINDER_TO_REPACK</t>
        </is>
      </c>
      <c r="Q103" s="25" t="inlineStr">
        <is>
          <t>OK</t>
        </is>
      </c>
      <c r="R103" s="26" t="inlineStr">
        <is>
          <t>완박스를 표준박스로 매핑하지 않고 자체 출고 카톤으로 사용</t>
        </is>
      </c>
      <c r="S103" s="27" t="inlineStr">
        <is>
          <t>FBX060</t>
        </is>
      </c>
      <c r="T103" s="27" t="inlineStr">
        <is>
          <t>완박스 50x44x32</t>
        </is>
      </c>
      <c r="U103" s="27" t="inlineStr">
        <is>
          <t>Y</t>
        </is>
      </c>
      <c r="V103" s="27" t="inlineStr">
        <is>
          <t>FBG094</t>
        </is>
      </c>
    </row>
    <row r="104" ht="30" customHeight="1" s="42">
      <c r="A104" s="26" t="inlineStr">
        <is>
          <t>B203220</t>
        </is>
      </c>
      <c r="B104" s="26" t="inlineStr">
        <is>
          <t>봄필러 인텐시브</t>
        </is>
      </c>
      <c r="C104" s="24" t="n">
        <v>83</v>
      </c>
      <c r="D104" s="24" t="n">
        <v>50</v>
      </c>
      <c r="E104" s="24" t="n">
        <v>44</v>
      </c>
      <c r="F104" s="24" t="n">
        <v>32</v>
      </c>
      <c r="G104" s="60" t="n">
        <v>6.32</v>
      </c>
      <c r="H104" s="24" t="n">
        <v>1</v>
      </c>
      <c r="I104" s="25" t="inlineStr">
        <is>
          <t>Y</t>
        </is>
      </c>
      <c r="J104" s="26" t="inlineStr">
        <is>
          <t>완박스 정보.xlsx</t>
        </is>
      </c>
      <c r="K104" s="26" t="inlineStr">
        <is>
          <t>FBX060</t>
        </is>
      </c>
      <c r="L104" s="26" t="inlineStr">
        <is>
          <t>OWN_CARTON</t>
        </is>
      </c>
      <c r="M104" s="26" t="inlineStr">
        <is>
          <t>FULLBOX_CARTON</t>
        </is>
      </c>
      <c r="N104" s="25" t="inlineStr">
        <is>
          <t>N</t>
        </is>
      </c>
      <c r="O104" s="26" t="n"/>
      <c r="P104" s="26" t="inlineStr">
        <is>
          <t>REMAINDER_TO_REPACK</t>
        </is>
      </c>
      <c r="Q104" s="25" t="inlineStr">
        <is>
          <t>OK</t>
        </is>
      </c>
      <c r="R104" s="26" t="inlineStr">
        <is>
          <t>완박스를 표준박스로 매핑하지 않고 자체 출고 카톤으로 사용</t>
        </is>
      </c>
      <c r="S104" s="27" t="inlineStr">
        <is>
          <t>FBX060</t>
        </is>
      </c>
      <c r="T104" s="27" t="inlineStr">
        <is>
          <t>완박스 50x44x32</t>
        </is>
      </c>
      <c r="U104" s="27" t="inlineStr">
        <is>
          <t>Y</t>
        </is>
      </c>
      <c r="V104" s="27" t="inlineStr">
        <is>
          <t>FBG094</t>
        </is>
      </c>
    </row>
    <row r="105" ht="30" customHeight="1" s="42">
      <c r="A105" s="26" t="inlineStr">
        <is>
          <t>B100810</t>
        </is>
      </c>
      <c r="B105" s="26" t="inlineStr">
        <is>
          <t>비에녹스100u</t>
        </is>
      </c>
      <c r="C105" s="24" t="n">
        <v>200</v>
      </c>
      <c r="D105" s="60" t="n">
        <v>39.5</v>
      </c>
      <c r="E105" s="60" t="n">
        <v>22.5</v>
      </c>
      <c r="F105" s="60" t="n">
        <v>39.5</v>
      </c>
      <c r="G105" s="60" t="n">
        <v>6.5</v>
      </c>
      <c r="H105" s="24" t="n">
        <v>1</v>
      </c>
      <c r="I105" s="25" t="inlineStr">
        <is>
          <t>Y</t>
        </is>
      </c>
      <c r="J105" s="26" t="inlineStr">
        <is>
          <t>완박스 정보.xlsx</t>
        </is>
      </c>
      <c r="K105" s="26" t="inlineStr">
        <is>
          <t>FBX010</t>
        </is>
      </c>
      <c r="L105" s="26" t="inlineStr">
        <is>
          <t>OWN_CARTON</t>
        </is>
      </c>
      <c r="M105" s="26" t="inlineStr">
        <is>
          <t>FULLBOX_CARTON</t>
        </is>
      </c>
      <c r="N105" s="25" t="inlineStr">
        <is>
          <t>N</t>
        </is>
      </c>
      <c r="O105" s="26" t="n"/>
      <c r="P105" s="26" t="inlineStr">
        <is>
          <t>REMAINDER_TO_REPACK</t>
        </is>
      </c>
      <c r="Q105" s="25" t="inlineStr">
        <is>
          <t>OK</t>
        </is>
      </c>
      <c r="R105" s="26" t="inlineStr">
        <is>
          <t>완박스를 표준박스로 매핑하지 않고 자체 출고 카톤으로 사용</t>
        </is>
      </c>
      <c r="S105" s="27" t="inlineStr">
        <is>
          <t>FBX010</t>
        </is>
      </c>
      <c r="T105" s="27" t="inlineStr">
        <is>
          <t>완박스 39.5x22.5x39.5</t>
        </is>
      </c>
      <c r="U105" s="27" t="inlineStr">
        <is>
          <t>Y</t>
        </is>
      </c>
      <c r="V105" s="27" t="inlineStr">
        <is>
          <t>FBG043</t>
        </is>
      </c>
    </row>
    <row r="106" ht="30" customHeight="1" s="42">
      <c r="A106" s="26" t="inlineStr">
        <is>
          <t>B100815</t>
        </is>
      </c>
      <c r="B106" s="26" t="inlineStr">
        <is>
          <t>비에녹스200u</t>
        </is>
      </c>
      <c r="C106" s="24" t="n">
        <v>200</v>
      </c>
      <c r="D106" s="60" t="n">
        <v>39.5</v>
      </c>
      <c r="E106" s="60" t="n">
        <v>22.5</v>
      </c>
      <c r="F106" s="60" t="n">
        <v>39.5</v>
      </c>
      <c r="G106" s="60" t="n">
        <v>6.5</v>
      </c>
      <c r="H106" s="24" t="n">
        <v>1</v>
      </c>
      <c r="I106" s="25" t="inlineStr">
        <is>
          <t>Y</t>
        </is>
      </c>
      <c r="J106" s="26" t="inlineStr">
        <is>
          <t>완박스 정보.xlsx</t>
        </is>
      </c>
      <c r="K106" s="26" t="inlineStr">
        <is>
          <t>FBX010</t>
        </is>
      </c>
      <c r="L106" s="26" t="inlineStr">
        <is>
          <t>OWN_CARTON</t>
        </is>
      </c>
      <c r="M106" s="26" t="inlineStr">
        <is>
          <t>FULLBOX_CARTON</t>
        </is>
      </c>
      <c r="N106" s="25" t="inlineStr">
        <is>
          <t>N</t>
        </is>
      </c>
      <c r="O106" s="26" t="n"/>
      <c r="P106" s="26" t="inlineStr">
        <is>
          <t>REMAINDER_TO_REPACK</t>
        </is>
      </c>
      <c r="Q106" s="25" t="inlineStr">
        <is>
          <t>OK</t>
        </is>
      </c>
      <c r="R106" s="26" t="inlineStr">
        <is>
          <t>완박스를 표준박스로 매핑하지 않고 자체 출고 카톤으로 사용</t>
        </is>
      </c>
      <c r="S106" s="27" t="inlineStr">
        <is>
          <t>FBX010</t>
        </is>
      </c>
      <c r="T106" s="27" t="inlineStr">
        <is>
          <t>완박스 39.5x22.5x39.5</t>
        </is>
      </c>
      <c r="U106" s="27" t="inlineStr">
        <is>
          <t>Y</t>
        </is>
      </c>
      <c r="V106" s="27" t="inlineStr">
        <is>
          <t>FBG043</t>
        </is>
      </c>
    </row>
    <row r="107">
      <c r="A107" s="26" t="inlineStr">
        <is>
          <t>B203380</t>
        </is>
      </c>
      <c r="B107" s="26" t="inlineStr">
        <is>
          <t>비엔필 딥 (CE)</t>
        </is>
      </c>
      <c r="C107" s="24" t="n">
        <v>100</v>
      </c>
      <c r="D107" s="24" t="n">
        <v>43</v>
      </c>
      <c r="E107" s="24" t="n">
        <v>37</v>
      </c>
      <c r="F107" s="24" t="n">
        <v>30</v>
      </c>
      <c r="G107" s="60" t="n">
        <v>5.5</v>
      </c>
      <c r="H107" s="24" t="n">
        <v>1</v>
      </c>
      <c r="I107" s="25" t="inlineStr">
        <is>
          <t>Y</t>
        </is>
      </c>
      <c r="J107" s="26" t="inlineStr">
        <is>
          <t>완박스 정보.xlsx</t>
        </is>
      </c>
      <c r="K107" s="26" t="inlineStr">
        <is>
          <t>FBX028</t>
        </is>
      </c>
      <c r="L107" s="26" t="inlineStr">
        <is>
          <t>OWN_CARTON</t>
        </is>
      </c>
      <c r="M107" s="26" t="inlineStr">
        <is>
          <t>FULLBOX_CARTON</t>
        </is>
      </c>
      <c r="N107" s="25" t="inlineStr">
        <is>
          <t>N</t>
        </is>
      </c>
      <c r="O107" s="26" t="n"/>
      <c r="P107" s="26" t="inlineStr">
        <is>
          <t>REMAINDER_TO_REPACK</t>
        </is>
      </c>
      <c r="Q107" s="25" t="inlineStr">
        <is>
          <t>OK</t>
        </is>
      </c>
      <c r="R107" s="26" t="inlineStr">
        <is>
          <t>완박스를 표준박스로 매핑하지 않고 자체 출고 카톤으로 사용</t>
        </is>
      </c>
      <c r="S107" s="27" t="inlineStr">
        <is>
          <t>FBX028</t>
        </is>
      </c>
      <c r="T107" s="27" t="inlineStr">
        <is>
          <t>완박스 43x37x30</t>
        </is>
      </c>
      <c r="U107" s="27" t="inlineStr">
        <is>
          <t>Y</t>
        </is>
      </c>
      <c r="V107" s="27" t="inlineStr">
        <is>
          <t>FBG013</t>
        </is>
      </c>
    </row>
    <row r="108">
      <c r="A108" s="26" t="inlineStr">
        <is>
          <t>B203370</t>
        </is>
      </c>
      <c r="B108" s="26" t="inlineStr">
        <is>
          <t>비엔필 볼륨 (CE)</t>
        </is>
      </c>
      <c r="C108" s="24" t="n">
        <v>100</v>
      </c>
      <c r="D108" s="24" t="n">
        <v>43</v>
      </c>
      <c r="E108" s="24" t="n">
        <v>37</v>
      </c>
      <c r="F108" s="24" t="n">
        <v>30</v>
      </c>
      <c r="G108" s="60" t="n">
        <v>5.5</v>
      </c>
      <c r="H108" s="24" t="n">
        <v>1</v>
      </c>
      <c r="I108" s="25" t="inlineStr">
        <is>
          <t>Y</t>
        </is>
      </c>
      <c r="J108" s="26" t="inlineStr">
        <is>
          <t>완박스 정보.xlsx</t>
        </is>
      </c>
      <c r="K108" s="26" t="inlineStr">
        <is>
          <t>FBX028</t>
        </is>
      </c>
      <c r="L108" s="26" t="inlineStr">
        <is>
          <t>OWN_CARTON</t>
        </is>
      </c>
      <c r="M108" s="26" t="inlineStr">
        <is>
          <t>FULLBOX_CARTON</t>
        </is>
      </c>
      <c r="N108" s="25" t="inlineStr">
        <is>
          <t>N</t>
        </is>
      </c>
      <c r="O108" s="26" t="n"/>
      <c r="P108" s="26" t="inlineStr">
        <is>
          <t>REMAINDER_TO_REPACK</t>
        </is>
      </c>
      <c r="Q108" s="25" t="inlineStr">
        <is>
          <t>OK</t>
        </is>
      </c>
      <c r="R108" s="26" t="inlineStr">
        <is>
          <t>완박스를 표준박스로 매핑하지 않고 자체 출고 카톤으로 사용</t>
        </is>
      </c>
      <c r="S108" s="27" t="inlineStr">
        <is>
          <t>FBX028</t>
        </is>
      </c>
      <c r="T108" s="27" t="inlineStr">
        <is>
          <t>완박스 43x37x30</t>
        </is>
      </c>
      <c r="U108" s="27" t="inlineStr">
        <is>
          <t>Y</t>
        </is>
      </c>
      <c r="V108" s="27" t="inlineStr">
        <is>
          <t>FBG013</t>
        </is>
      </c>
    </row>
    <row r="109">
      <c r="A109" s="26" t="inlineStr">
        <is>
          <t>B203390</t>
        </is>
      </c>
      <c r="B109" s="26" t="inlineStr">
        <is>
          <t>비엔필 클래식 (CE)</t>
        </is>
      </c>
      <c r="C109" s="24" t="n">
        <v>100</v>
      </c>
      <c r="D109" s="24" t="n">
        <v>43</v>
      </c>
      <c r="E109" s="24" t="n">
        <v>37</v>
      </c>
      <c r="F109" s="24" t="n">
        <v>30</v>
      </c>
      <c r="G109" s="60" t="n">
        <v>5.5</v>
      </c>
      <c r="H109" s="24" t="n">
        <v>1</v>
      </c>
      <c r="I109" s="25" t="inlineStr">
        <is>
          <t>Y</t>
        </is>
      </c>
      <c r="J109" s="26" t="inlineStr">
        <is>
          <t>완박스 정보.xlsx</t>
        </is>
      </c>
      <c r="K109" s="26" t="inlineStr">
        <is>
          <t>FBX028</t>
        </is>
      </c>
      <c r="L109" s="26" t="inlineStr">
        <is>
          <t>OWN_CARTON</t>
        </is>
      </c>
      <c r="M109" s="26" t="inlineStr">
        <is>
          <t>FULLBOX_CARTON</t>
        </is>
      </c>
      <c r="N109" s="25" t="inlineStr">
        <is>
          <t>N</t>
        </is>
      </c>
      <c r="O109" s="26" t="n"/>
      <c r="P109" s="26" t="inlineStr">
        <is>
          <t>REMAINDER_TO_REPACK</t>
        </is>
      </c>
      <c r="Q109" s="25" t="inlineStr">
        <is>
          <t>OK</t>
        </is>
      </c>
      <c r="R109" s="26" t="inlineStr">
        <is>
          <t>완박스를 표준박스로 매핑하지 않고 자체 출고 카톤으로 사용</t>
        </is>
      </c>
      <c r="S109" s="27" t="inlineStr">
        <is>
          <t>FBX028</t>
        </is>
      </c>
      <c r="T109" s="27" t="inlineStr">
        <is>
          <t>완박스 43x37x30</t>
        </is>
      </c>
      <c r="U109" s="27" t="inlineStr">
        <is>
          <t>Y</t>
        </is>
      </c>
      <c r="V109" s="27" t="inlineStr">
        <is>
          <t>FBG013</t>
        </is>
      </c>
    </row>
    <row r="110">
      <c r="A110" s="26" t="inlineStr">
        <is>
          <t>B305110</t>
        </is>
      </c>
      <c r="B110" s="26" t="inlineStr">
        <is>
          <t>세디필</t>
        </is>
      </c>
      <c r="C110" s="24" t="n">
        <v>50</v>
      </c>
      <c r="D110" s="24" t="n">
        <v>43</v>
      </c>
      <c r="E110" s="24" t="n">
        <v>34</v>
      </c>
      <c r="F110" s="60" t="n">
        <v>28.5</v>
      </c>
      <c r="G110" s="24" t="n">
        <v>10</v>
      </c>
      <c r="H110" s="24" t="n">
        <v>1</v>
      </c>
      <c r="I110" s="25" t="inlineStr">
        <is>
          <t>Y</t>
        </is>
      </c>
      <c r="J110" s="26" t="inlineStr">
        <is>
          <t>완박스 정보.xlsx</t>
        </is>
      </c>
      <c r="K110" s="26" t="inlineStr">
        <is>
          <t>FBX024</t>
        </is>
      </c>
      <c r="L110" s="26" t="inlineStr">
        <is>
          <t>OWN_CARTON</t>
        </is>
      </c>
      <c r="M110" s="26" t="inlineStr">
        <is>
          <t>FULLBOX_CARTON</t>
        </is>
      </c>
      <c r="N110" s="25" t="inlineStr">
        <is>
          <t>N</t>
        </is>
      </c>
      <c r="O110" s="26" t="n"/>
      <c r="P110" s="26" t="inlineStr">
        <is>
          <t>REMAINDER_TO_REPACK</t>
        </is>
      </c>
      <c r="Q110" s="25" t="inlineStr">
        <is>
          <t>OK</t>
        </is>
      </c>
      <c r="R110" s="26" t="inlineStr">
        <is>
          <t>완박스를 표준박스로 매핑하지 않고 자체 출고 카톤으로 사용</t>
        </is>
      </c>
      <c r="S110" s="27" t="inlineStr">
        <is>
          <t>FBX024</t>
        </is>
      </c>
      <c r="T110" s="27" t="inlineStr">
        <is>
          <t>완박스 43x34x28.5</t>
        </is>
      </c>
      <c r="U110" s="27" t="inlineStr">
        <is>
          <t>Y</t>
        </is>
      </c>
      <c r="V110" s="27" t="inlineStr">
        <is>
          <t>FBG075</t>
        </is>
      </c>
    </row>
    <row r="111" ht="30" customHeight="1" s="42">
      <c r="A111" s="26" t="inlineStr">
        <is>
          <t>B100830</t>
        </is>
      </c>
      <c r="B111" s="26" t="inlineStr">
        <is>
          <t>셀라톡스</t>
        </is>
      </c>
      <c r="C111" s="24" t="n">
        <v>80</v>
      </c>
      <c r="D111" s="60" t="n">
        <v>46.5</v>
      </c>
      <c r="E111" s="24" t="n">
        <v>39</v>
      </c>
      <c r="F111" s="60" t="n">
        <v>37.5</v>
      </c>
      <c r="G111" s="60" t="n">
        <v>13.85</v>
      </c>
      <c r="H111" s="24" t="n">
        <v>1</v>
      </c>
      <c r="I111" s="25" t="inlineStr">
        <is>
          <t>Y</t>
        </is>
      </c>
      <c r="J111" s="26" t="inlineStr">
        <is>
          <t>완박스 정보.xlsx</t>
        </is>
      </c>
      <c r="K111" s="26" t="inlineStr">
        <is>
          <t>FBX050</t>
        </is>
      </c>
      <c r="L111" s="26" t="inlineStr">
        <is>
          <t>OWN_CARTON</t>
        </is>
      </c>
      <c r="M111" s="26" t="inlineStr">
        <is>
          <t>FULLBOX_CARTON</t>
        </is>
      </c>
      <c r="N111" s="25" t="inlineStr">
        <is>
          <t>N</t>
        </is>
      </c>
      <c r="O111" s="26" t="n"/>
      <c r="P111" s="26" t="inlineStr">
        <is>
          <t>REMAINDER_TO_REPACK</t>
        </is>
      </c>
      <c r="Q111" s="25" t="inlineStr">
        <is>
          <t>OK</t>
        </is>
      </c>
      <c r="R111" s="26" t="inlineStr">
        <is>
          <t>완박스를 표준박스로 매핑하지 않고 자체 출고 카톤으로 사용</t>
        </is>
      </c>
      <c r="S111" s="27" t="inlineStr">
        <is>
          <t>FBX050</t>
        </is>
      </c>
      <c r="T111" s="27" t="inlineStr">
        <is>
          <t>완박스 46.5x39x37.5</t>
        </is>
      </c>
      <c r="U111" s="27" t="inlineStr">
        <is>
          <t>Y</t>
        </is>
      </c>
      <c r="V111" s="27" t="inlineStr">
        <is>
          <t>FBG078</t>
        </is>
      </c>
    </row>
    <row r="112">
      <c r="A112" s="26" t="inlineStr">
        <is>
          <t>B203630</t>
        </is>
      </c>
      <c r="B112" s="26" t="inlineStr">
        <is>
          <t>셀로좀 미드 리도</t>
        </is>
      </c>
      <c r="C112" s="24" t="n">
        <v>200</v>
      </c>
      <c r="D112" s="24" t="n">
        <v>59</v>
      </c>
      <c r="E112" s="24" t="n">
        <v>41</v>
      </c>
      <c r="F112" s="24" t="n">
        <v>40</v>
      </c>
      <c r="G112" s="60" t="n">
        <v>13.6</v>
      </c>
      <c r="H112" s="24" t="n">
        <v>1</v>
      </c>
      <c r="I112" s="25" t="inlineStr">
        <is>
          <t>Y</t>
        </is>
      </c>
      <c r="J112" s="26" t="inlineStr">
        <is>
          <t>완박스 정보.xlsx</t>
        </is>
      </c>
      <c r="K112" s="26" t="inlineStr">
        <is>
          <t>FBX080</t>
        </is>
      </c>
      <c r="L112" s="26" t="inlineStr">
        <is>
          <t>OWN_CARTON</t>
        </is>
      </c>
      <c r="M112" s="26" t="inlineStr">
        <is>
          <t>FULLBOX_CARTON</t>
        </is>
      </c>
      <c r="N112" s="25" t="inlineStr">
        <is>
          <t>N</t>
        </is>
      </c>
      <c r="O112" s="26" t="n"/>
      <c r="P112" s="26" t="inlineStr">
        <is>
          <t>REMAINDER_TO_REPACK</t>
        </is>
      </c>
      <c r="Q112" s="25" t="inlineStr">
        <is>
          <t>OK</t>
        </is>
      </c>
      <c r="R112" s="26" t="inlineStr">
        <is>
          <t>완박스를 표준박스로 매핑하지 않고 자체 출고 카톤으로 사용</t>
        </is>
      </c>
      <c r="S112" s="27" t="inlineStr">
        <is>
          <t>FBX080</t>
        </is>
      </c>
      <c r="T112" s="27" t="inlineStr">
        <is>
          <t>완박스 59x41x40</t>
        </is>
      </c>
      <c r="U112" s="27" t="inlineStr">
        <is>
          <t>Y</t>
        </is>
      </c>
      <c r="V112" s="27" t="inlineStr">
        <is>
          <t>FBG048</t>
        </is>
      </c>
    </row>
    <row r="113">
      <c r="A113" s="26" t="inlineStr">
        <is>
          <t>B203640</t>
        </is>
      </c>
      <c r="B113" s="26" t="inlineStr">
        <is>
          <t>셀로좀 소프트 리도</t>
        </is>
      </c>
      <c r="C113" s="24" t="n">
        <v>200</v>
      </c>
      <c r="D113" s="24" t="n">
        <v>59</v>
      </c>
      <c r="E113" s="24" t="n">
        <v>41</v>
      </c>
      <c r="F113" s="24" t="n">
        <v>40</v>
      </c>
      <c r="G113" s="60" t="n">
        <v>13.6</v>
      </c>
      <c r="H113" s="24" t="n">
        <v>1</v>
      </c>
      <c r="I113" s="25" t="inlineStr">
        <is>
          <t>Y</t>
        </is>
      </c>
      <c r="J113" s="26" t="inlineStr">
        <is>
          <t>완박스 정보.xlsx</t>
        </is>
      </c>
      <c r="K113" s="26" t="inlineStr">
        <is>
          <t>FBX080</t>
        </is>
      </c>
      <c r="L113" s="26" t="inlineStr">
        <is>
          <t>OWN_CARTON</t>
        </is>
      </c>
      <c r="M113" s="26" t="inlineStr">
        <is>
          <t>FULLBOX_CARTON</t>
        </is>
      </c>
      <c r="N113" s="25" t="inlineStr">
        <is>
          <t>N</t>
        </is>
      </c>
      <c r="O113" s="26" t="n"/>
      <c r="P113" s="26" t="inlineStr">
        <is>
          <t>REMAINDER_TO_REPACK</t>
        </is>
      </c>
      <c r="Q113" s="25" t="inlineStr">
        <is>
          <t>OK</t>
        </is>
      </c>
      <c r="R113" s="26" t="inlineStr">
        <is>
          <t>완박스를 표준박스로 매핑하지 않고 자체 출고 카톤으로 사용</t>
        </is>
      </c>
      <c r="S113" s="27" t="inlineStr">
        <is>
          <t>FBX080</t>
        </is>
      </c>
      <c r="T113" s="27" t="inlineStr">
        <is>
          <t>완박스 59x41x40</t>
        </is>
      </c>
      <c r="U113" s="27" t="inlineStr">
        <is>
          <t>Y</t>
        </is>
      </c>
      <c r="V113" s="27" t="inlineStr">
        <is>
          <t>FBG048</t>
        </is>
      </c>
    </row>
    <row r="114" ht="30" customHeight="1" s="42">
      <c r="A114" s="26" t="inlineStr">
        <is>
          <t>B203620</t>
        </is>
      </c>
      <c r="B114" s="26" t="inlineStr">
        <is>
          <t>셀로좀 스트롱 리도</t>
        </is>
      </c>
      <c r="C114" s="24" t="n">
        <v>200</v>
      </c>
      <c r="D114" s="24" t="n">
        <v>59</v>
      </c>
      <c r="E114" s="24" t="n">
        <v>41</v>
      </c>
      <c r="F114" s="24" t="n">
        <v>40</v>
      </c>
      <c r="G114" s="60" t="n">
        <v>13.6</v>
      </c>
      <c r="H114" s="24" t="n">
        <v>1</v>
      </c>
      <c r="I114" s="25" t="inlineStr">
        <is>
          <t>Y</t>
        </is>
      </c>
      <c r="J114" s="26" t="inlineStr">
        <is>
          <t>완박스 정보.xlsx</t>
        </is>
      </c>
      <c r="K114" s="26" t="inlineStr">
        <is>
          <t>FBX080</t>
        </is>
      </c>
      <c r="L114" s="26" t="inlineStr">
        <is>
          <t>OWN_CARTON</t>
        </is>
      </c>
      <c r="M114" s="26" t="inlineStr">
        <is>
          <t>FULLBOX_CARTON</t>
        </is>
      </c>
      <c r="N114" s="25" t="inlineStr">
        <is>
          <t>N</t>
        </is>
      </c>
      <c r="O114" s="26" t="n"/>
      <c r="P114" s="26" t="inlineStr">
        <is>
          <t>REMAINDER_TO_REPACK</t>
        </is>
      </c>
      <c r="Q114" s="25" t="inlineStr">
        <is>
          <t>OK</t>
        </is>
      </c>
      <c r="R114" s="26" t="inlineStr">
        <is>
          <t>완박스를 표준박스로 매핑하지 않고 자체 출고 카톤으로 사용</t>
        </is>
      </c>
      <c r="S114" s="27" t="inlineStr">
        <is>
          <t>FBX080</t>
        </is>
      </c>
      <c r="T114" s="27" t="inlineStr">
        <is>
          <t>완박스 59x41x40</t>
        </is>
      </c>
      <c r="U114" s="27" t="inlineStr">
        <is>
          <t>Y</t>
        </is>
      </c>
      <c r="V114" s="27" t="inlineStr">
        <is>
          <t>FBG048</t>
        </is>
      </c>
    </row>
    <row r="115">
      <c r="A115" s="26" t="inlineStr">
        <is>
          <t>B305310</t>
        </is>
      </c>
      <c r="B115" s="26" t="inlineStr">
        <is>
          <t>셀로좀 아쿠아 노리도</t>
        </is>
      </c>
      <c r="C115" s="24" t="n">
        <v>50</v>
      </c>
      <c r="D115" s="24" t="n">
        <v>59</v>
      </c>
      <c r="E115" s="24" t="n">
        <v>41</v>
      </c>
      <c r="F115" s="24" t="n">
        <v>40</v>
      </c>
      <c r="G115" s="60" t="n">
        <v>13.7</v>
      </c>
      <c r="H115" s="24" t="n">
        <v>1</v>
      </c>
      <c r="I115" s="25" t="inlineStr">
        <is>
          <t>Y</t>
        </is>
      </c>
      <c r="J115" s="26" t="inlineStr">
        <is>
          <t>완박스 정보.xlsx</t>
        </is>
      </c>
      <c r="K115" s="26" t="inlineStr">
        <is>
          <t>FBX081</t>
        </is>
      </c>
      <c r="L115" s="26" t="inlineStr">
        <is>
          <t>OWN_CARTON</t>
        </is>
      </c>
      <c r="M115" s="26" t="inlineStr">
        <is>
          <t>FULLBOX_CARTON</t>
        </is>
      </c>
      <c r="N115" s="25" t="inlineStr">
        <is>
          <t>N</t>
        </is>
      </c>
      <c r="O115" s="26" t="n"/>
      <c r="P115" s="26" t="inlineStr">
        <is>
          <t>REMAINDER_TO_REPACK</t>
        </is>
      </c>
      <c r="Q115" s="25" t="inlineStr">
        <is>
          <t>OK</t>
        </is>
      </c>
      <c r="R115" s="26" t="inlineStr">
        <is>
          <t>완박스를 표준박스로 매핑하지 않고 자체 출고 카톤으로 사용</t>
        </is>
      </c>
      <c r="S115" s="27" t="inlineStr">
        <is>
          <t>FBX081</t>
        </is>
      </c>
      <c r="T115" s="27" t="inlineStr">
        <is>
          <t>완박스 59x41x40</t>
        </is>
      </c>
      <c r="U115" s="27" t="inlineStr">
        <is>
          <t>Y</t>
        </is>
      </c>
      <c r="V115" s="27" t="inlineStr">
        <is>
          <t>FBG048</t>
        </is>
      </c>
    </row>
    <row r="116">
      <c r="A116" s="26" t="inlineStr">
        <is>
          <t>B203710</t>
        </is>
      </c>
      <c r="B116" s="26" t="inlineStr">
        <is>
          <t>셀로좀 엑스쉐이프</t>
        </is>
      </c>
      <c r="C116" s="24" t="n">
        <v>140</v>
      </c>
      <c r="D116" s="24" t="n">
        <v>59</v>
      </c>
      <c r="E116" s="24" t="n">
        <v>41</v>
      </c>
      <c r="F116" s="24" t="n">
        <v>40</v>
      </c>
      <c r="G116" s="60" t="n">
        <v>10.5</v>
      </c>
      <c r="H116" s="24" t="n">
        <v>1</v>
      </c>
      <c r="I116" s="25" t="inlineStr">
        <is>
          <t>Y</t>
        </is>
      </c>
      <c r="J116" s="26" t="inlineStr">
        <is>
          <t>완박스 정보.xlsx</t>
        </is>
      </c>
      <c r="K116" s="26" t="inlineStr">
        <is>
          <t>FBX079</t>
        </is>
      </c>
      <c r="L116" s="26" t="inlineStr">
        <is>
          <t>OWN_CARTON</t>
        </is>
      </c>
      <c r="M116" s="26" t="inlineStr">
        <is>
          <t>FULLBOX_CARTON</t>
        </is>
      </c>
      <c r="N116" s="25" t="inlineStr">
        <is>
          <t>N</t>
        </is>
      </c>
      <c r="O116" s="26" t="n"/>
      <c r="P116" s="26" t="inlineStr">
        <is>
          <t>REMAINDER_TO_REPACK</t>
        </is>
      </c>
      <c r="Q116" s="25" t="inlineStr">
        <is>
          <t>OK</t>
        </is>
      </c>
      <c r="R116" s="26" t="inlineStr">
        <is>
          <t>완박스를 표준박스로 매핑하지 않고 자체 출고 카톤으로 사용</t>
        </is>
      </c>
      <c r="S116" s="27" t="inlineStr">
        <is>
          <t>FBX079</t>
        </is>
      </c>
      <c r="T116" s="27" t="inlineStr">
        <is>
          <t>완박스 59x41x40</t>
        </is>
      </c>
      <c r="U116" s="27" t="inlineStr">
        <is>
          <t>Y</t>
        </is>
      </c>
      <c r="V116" s="27" t="inlineStr">
        <is>
          <t>FBG048</t>
        </is>
      </c>
    </row>
    <row r="117">
      <c r="A117" s="26" t="inlineStr">
        <is>
          <t>B203610</t>
        </is>
      </c>
      <c r="B117" s="26" t="inlineStr">
        <is>
          <t>셀로좀 임플란트 리도</t>
        </is>
      </c>
      <c r="C117" s="24" t="n">
        <v>200</v>
      </c>
      <c r="D117" s="24" t="n">
        <v>59</v>
      </c>
      <c r="E117" s="24" t="n">
        <v>41</v>
      </c>
      <c r="F117" s="24" t="n">
        <v>40</v>
      </c>
      <c r="G117" s="60" t="n">
        <v>13.6</v>
      </c>
      <c r="H117" s="24" t="n">
        <v>1</v>
      </c>
      <c r="I117" s="25" t="inlineStr">
        <is>
          <t>Y</t>
        </is>
      </c>
      <c r="J117" s="26" t="inlineStr">
        <is>
          <t>완박스 정보.xlsx</t>
        </is>
      </c>
      <c r="K117" s="26" t="inlineStr">
        <is>
          <t>FBX080</t>
        </is>
      </c>
      <c r="L117" s="26" t="inlineStr">
        <is>
          <t>OWN_CARTON</t>
        </is>
      </c>
      <c r="M117" s="26" t="inlineStr">
        <is>
          <t>FULLBOX_CARTON</t>
        </is>
      </c>
      <c r="N117" s="25" t="inlineStr">
        <is>
          <t>N</t>
        </is>
      </c>
      <c r="O117" s="26" t="n"/>
      <c r="P117" s="26" t="inlineStr">
        <is>
          <t>REMAINDER_TO_REPACK</t>
        </is>
      </c>
      <c r="Q117" s="25" t="inlineStr">
        <is>
          <t>OK</t>
        </is>
      </c>
      <c r="R117" s="26" t="inlineStr">
        <is>
          <t>완박스를 표준박스로 매핑하지 않고 자체 출고 카톤으로 사용</t>
        </is>
      </c>
      <c r="S117" s="27" t="inlineStr">
        <is>
          <t>FBX080</t>
        </is>
      </c>
      <c r="T117" s="27" t="inlineStr">
        <is>
          <t>완박스 59x41x40</t>
        </is>
      </c>
      <c r="U117" s="27" t="inlineStr">
        <is>
          <t>Y</t>
        </is>
      </c>
      <c r="V117" s="27" t="inlineStr">
        <is>
          <t>FBG048</t>
        </is>
      </c>
    </row>
    <row r="118">
      <c r="A118" s="26" t="inlineStr">
        <is>
          <t>B203782</t>
        </is>
      </c>
      <c r="B118" s="26" t="inlineStr">
        <is>
          <t>순수필 100</t>
        </is>
      </c>
      <c r="C118" s="24" t="n">
        <v>100</v>
      </c>
      <c r="D118" s="60" t="n">
        <v>41.5</v>
      </c>
      <c r="E118" s="24" t="n">
        <v>43</v>
      </c>
      <c r="F118" s="24" t="n">
        <v>32</v>
      </c>
      <c r="G118" s="60" t="n">
        <v>5.3</v>
      </c>
      <c r="H118" s="24" t="n">
        <v>1</v>
      </c>
      <c r="I118" s="25" t="inlineStr">
        <is>
          <t>Y</t>
        </is>
      </c>
      <c r="J118" s="26" t="inlineStr">
        <is>
          <t>완박스 정보.xlsx</t>
        </is>
      </c>
      <c r="K118" s="26" t="inlineStr">
        <is>
          <t>FBX023</t>
        </is>
      </c>
      <c r="L118" s="26" t="inlineStr">
        <is>
          <t>OWN_CARTON</t>
        </is>
      </c>
      <c r="M118" s="26" t="inlineStr">
        <is>
          <t>FULLBOX_CARTON</t>
        </is>
      </c>
      <c r="N118" s="25" t="inlineStr">
        <is>
          <t>N</t>
        </is>
      </c>
      <c r="O118" s="26" t="n"/>
      <c r="P118" s="26" t="inlineStr">
        <is>
          <t>REMAINDER_TO_REPACK</t>
        </is>
      </c>
      <c r="Q118" s="25" t="inlineStr">
        <is>
          <t>OK</t>
        </is>
      </c>
      <c r="R118" s="26" t="inlineStr">
        <is>
          <t>완박스를 표준박스로 매핑하지 않고 자체 출고 카톤으로 사용</t>
        </is>
      </c>
      <c r="S118" s="27" t="inlineStr">
        <is>
          <t>FBX023</t>
        </is>
      </c>
      <c r="T118" s="27" t="inlineStr">
        <is>
          <t>완박스 41.5x43x32</t>
        </is>
      </c>
      <c r="U118" s="27" t="inlineStr">
        <is>
          <t>Y</t>
        </is>
      </c>
      <c r="V118" s="27" t="inlineStr">
        <is>
          <t>FBG012</t>
        </is>
      </c>
    </row>
    <row r="119">
      <c r="A119" s="26" t="inlineStr">
        <is>
          <t>B203781</t>
        </is>
      </c>
      <c r="B119" s="26" t="inlineStr">
        <is>
          <t>순수필 300</t>
        </is>
      </c>
      <c r="C119" s="24" t="n">
        <v>100</v>
      </c>
      <c r="D119" s="60" t="n">
        <v>41.5</v>
      </c>
      <c r="E119" s="24" t="n">
        <v>43</v>
      </c>
      <c r="F119" s="24" t="n">
        <v>32</v>
      </c>
      <c r="G119" s="60" t="n">
        <v>5.3</v>
      </c>
      <c r="H119" s="24" t="n">
        <v>1</v>
      </c>
      <c r="I119" s="25" t="inlineStr">
        <is>
          <t>Y</t>
        </is>
      </c>
      <c r="J119" s="26" t="inlineStr">
        <is>
          <t>완박스 정보.xlsx</t>
        </is>
      </c>
      <c r="K119" s="26" t="inlineStr">
        <is>
          <t>FBX023</t>
        </is>
      </c>
      <c r="L119" s="26" t="inlineStr">
        <is>
          <t>OWN_CARTON</t>
        </is>
      </c>
      <c r="M119" s="26" t="inlineStr">
        <is>
          <t>FULLBOX_CARTON</t>
        </is>
      </c>
      <c r="N119" s="25" t="inlineStr">
        <is>
          <t>N</t>
        </is>
      </c>
      <c r="O119" s="26" t="n"/>
      <c r="P119" s="26" t="inlineStr">
        <is>
          <t>REMAINDER_TO_REPACK</t>
        </is>
      </c>
      <c r="Q119" s="25" t="inlineStr">
        <is>
          <t>OK</t>
        </is>
      </c>
      <c r="R119" s="26" t="inlineStr">
        <is>
          <t>완박스를 표준박스로 매핑하지 않고 자체 출고 카톤으로 사용</t>
        </is>
      </c>
      <c r="S119" s="27" t="inlineStr">
        <is>
          <t>FBX023</t>
        </is>
      </c>
      <c r="T119" s="27" t="inlineStr">
        <is>
          <t>완박스 41.5x43x32</t>
        </is>
      </c>
      <c r="U119" s="27" t="inlineStr">
        <is>
          <t>Y</t>
        </is>
      </c>
      <c r="V119" s="27" t="inlineStr">
        <is>
          <t>FBG012</t>
        </is>
      </c>
    </row>
    <row r="120">
      <c r="A120" s="26" t="inlineStr">
        <is>
          <t>B203780</t>
        </is>
      </c>
      <c r="B120" s="26" t="inlineStr">
        <is>
          <t>순수필 500</t>
        </is>
      </c>
      <c r="C120" s="24" t="n">
        <v>100</v>
      </c>
      <c r="D120" s="60" t="n">
        <v>41.5</v>
      </c>
      <c r="E120" s="24" t="n">
        <v>43</v>
      </c>
      <c r="F120" s="24" t="n">
        <v>32</v>
      </c>
      <c r="G120" s="60" t="n">
        <v>5.3</v>
      </c>
      <c r="H120" s="24" t="n">
        <v>1</v>
      </c>
      <c r="I120" s="25" t="inlineStr">
        <is>
          <t>Y</t>
        </is>
      </c>
      <c r="J120" s="26" t="inlineStr">
        <is>
          <t>완박스 정보.xlsx</t>
        </is>
      </c>
      <c r="K120" s="26" t="inlineStr">
        <is>
          <t>FBX023</t>
        </is>
      </c>
      <c r="L120" s="26" t="inlineStr">
        <is>
          <t>OWN_CARTON</t>
        </is>
      </c>
      <c r="M120" s="26" t="inlineStr">
        <is>
          <t>FULLBOX_CARTON</t>
        </is>
      </c>
      <c r="N120" s="25" t="inlineStr">
        <is>
          <t>N</t>
        </is>
      </c>
      <c r="O120" s="26" t="n"/>
      <c r="P120" s="26" t="inlineStr">
        <is>
          <t>REMAINDER_TO_REPACK</t>
        </is>
      </c>
      <c r="Q120" s="25" t="inlineStr">
        <is>
          <t>OK</t>
        </is>
      </c>
      <c r="R120" s="26" t="inlineStr">
        <is>
          <t>완박스를 표준박스로 매핑하지 않고 자체 출고 카톤으로 사용</t>
        </is>
      </c>
      <c r="S120" s="27" t="inlineStr">
        <is>
          <t>FBX023</t>
        </is>
      </c>
      <c r="T120" s="27" t="inlineStr">
        <is>
          <t>완박스 41.5x43x32</t>
        </is>
      </c>
      <c r="U120" s="27" t="inlineStr">
        <is>
          <t>Y</t>
        </is>
      </c>
      <c r="V120" s="27" t="inlineStr">
        <is>
          <t>FBG012</t>
        </is>
      </c>
    </row>
    <row r="121">
      <c r="A121" s="26" t="inlineStr">
        <is>
          <t>A301113</t>
        </is>
      </c>
      <c r="B121" s="26" t="inlineStr">
        <is>
          <t>엑소원(I BOX)</t>
        </is>
      </c>
      <c r="C121" s="24" t="n">
        <v>36</v>
      </c>
      <c r="D121" s="24" t="n">
        <v>55</v>
      </c>
      <c r="E121" s="24" t="n">
        <v>35</v>
      </c>
      <c r="F121" s="24" t="n">
        <v>20</v>
      </c>
      <c r="G121" s="60" t="n">
        <v>8.6</v>
      </c>
      <c r="H121" s="24" t="n">
        <v>1</v>
      </c>
      <c r="I121" s="25" t="inlineStr">
        <is>
          <t>Y</t>
        </is>
      </c>
      <c r="J121" s="26" t="inlineStr">
        <is>
          <t>완박스 정보.xlsx</t>
        </is>
      </c>
      <c r="K121" s="26" t="inlineStr">
        <is>
          <t>FBX071</t>
        </is>
      </c>
      <c r="L121" s="26" t="inlineStr">
        <is>
          <t>OWN_CARTON</t>
        </is>
      </c>
      <c r="M121" s="26" t="inlineStr">
        <is>
          <t>FULLBOX_CARTON</t>
        </is>
      </c>
      <c r="N121" s="25" t="inlineStr">
        <is>
          <t>N</t>
        </is>
      </c>
      <c r="O121" s="26" t="n"/>
      <c r="P121" s="26" t="inlineStr">
        <is>
          <t>REMAINDER_TO_REPACK</t>
        </is>
      </c>
      <c r="Q121" s="25" t="inlineStr">
        <is>
          <t>OK</t>
        </is>
      </c>
      <c r="R121" s="26" t="inlineStr">
        <is>
          <t>완박스를 표준박스로 매핑하지 않고 자체 출고 카톤으로 사용</t>
        </is>
      </c>
      <c r="S121" s="27" t="inlineStr">
        <is>
          <t>FBX071</t>
        </is>
      </c>
      <c r="T121" s="27" t="inlineStr">
        <is>
          <t>완박스 55x35x20</t>
        </is>
      </c>
      <c r="U121" s="27" t="inlineStr">
        <is>
          <t>Y</t>
        </is>
      </c>
      <c r="V121" s="27" t="inlineStr">
        <is>
          <t>FBG057</t>
        </is>
      </c>
    </row>
    <row r="122">
      <c r="A122" s="26" t="inlineStr">
        <is>
          <t>A301112</t>
        </is>
      </c>
      <c r="B122" s="26" t="inlineStr">
        <is>
          <t>엑소원(허가 BOX)</t>
        </is>
      </c>
      <c r="C122" s="24" t="n">
        <v>30</v>
      </c>
      <c r="D122" s="24" t="n">
        <v>55</v>
      </c>
      <c r="E122" s="24" t="n">
        <v>34</v>
      </c>
      <c r="F122" s="24" t="n">
        <v>18</v>
      </c>
      <c r="G122" s="60" t="n">
        <v>7.1</v>
      </c>
      <c r="H122" s="24" t="n">
        <v>1</v>
      </c>
      <c r="I122" s="25" t="inlineStr">
        <is>
          <t>Y</t>
        </is>
      </c>
      <c r="J122" s="26" t="inlineStr">
        <is>
          <t>완박스 정보.xlsx</t>
        </is>
      </c>
      <c r="K122" s="26" t="inlineStr">
        <is>
          <t>FBX069</t>
        </is>
      </c>
      <c r="L122" s="26" t="inlineStr">
        <is>
          <t>OWN_CARTON</t>
        </is>
      </c>
      <c r="M122" s="26" t="inlineStr">
        <is>
          <t>FULLBOX_CARTON</t>
        </is>
      </c>
      <c r="N122" s="25" t="inlineStr">
        <is>
          <t>N</t>
        </is>
      </c>
      <c r="O122" s="26" t="n"/>
      <c r="P122" s="26" t="inlineStr">
        <is>
          <t>REMAINDER_TO_REPACK</t>
        </is>
      </c>
      <c r="Q122" s="25" t="inlineStr">
        <is>
          <t>OK</t>
        </is>
      </c>
      <c r="R122" s="26" t="inlineStr">
        <is>
          <t>완박스를 표준박스로 매핑하지 않고 자체 출고 카톤으로 사용</t>
        </is>
      </c>
      <c r="S122" s="27" t="inlineStr">
        <is>
          <t>FBX069</t>
        </is>
      </c>
      <c r="T122" s="27" t="inlineStr">
        <is>
          <t>완박스 55x34x18</t>
        </is>
      </c>
      <c r="U122" s="27" t="inlineStr">
        <is>
          <t>Y</t>
        </is>
      </c>
      <c r="V122" s="27" t="inlineStr">
        <is>
          <t>FBG054</t>
        </is>
      </c>
    </row>
    <row r="123">
      <c r="A123" s="26" t="inlineStr">
        <is>
          <t>A301120</t>
        </is>
      </c>
      <c r="B123" s="26" t="inlineStr">
        <is>
          <t>엑소원V(BOX)</t>
        </is>
      </c>
      <c r="C123" s="24" t="n">
        <v>36</v>
      </c>
      <c r="D123" s="24" t="n">
        <v>56</v>
      </c>
      <c r="E123" s="24" t="n">
        <v>35</v>
      </c>
      <c r="F123" s="24" t="n">
        <v>20</v>
      </c>
      <c r="G123" s="60" t="n">
        <v>8.300000000000001</v>
      </c>
      <c r="H123" s="24" t="n">
        <v>1</v>
      </c>
      <c r="I123" s="25" t="inlineStr">
        <is>
          <t>Y</t>
        </is>
      </c>
      <c r="J123" s="26" t="inlineStr">
        <is>
          <t>완박스 정보.xlsx</t>
        </is>
      </c>
      <c r="K123" s="26" t="inlineStr">
        <is>
          <t>FBX074</t>
        </is>
      </c>
      <c r="L123" s="26" t="inlineStr">
        <is>
          <t>OWN_CARTON</t>
        </is>
      </c>
      <c r="M123" s="26" t="inlineStr">
        <is>
          <t>FULLBOX_CARTON</t>
        </is>
      </c>
      <c r="N123" s="25" t="inlineStr">
        <is>
          <t>N</t>
        </is>
      </c>
      <c r="O123" s="26" t="n"/>
      <c r="P123" s="26" t="inlineStr">
        <is>
          <t>REMAINDER_TO_REPACK</t>
        </is>
      </c>
      <c r="Q123" s="25" t="inlineStr">
        <is>
          <t>OK</t>
        </is>
      </c>
      <c r="R123" s="26" t="inlineStr">
        <is>
          <t>완박스를 표준박스로 매핑하지 않고 자체 출고 카톤으로 사용</t>
        </is>
      </c>
      <c r="S123" s="27" t="inlineStr">
        <is>
          <t>FBX074</t>
        </is>
      </c>
      <c r="T123" s="27" t="inlineStr">
        <is>
          <t>완박스 56x35x20</t>
        </is>
      </c>
      <c r="U123" s="27" t="inlineStr">
        <is>
          <t>Y</t>
        </is>
      </c>
      <c r="V123" s="27" t="inlineStr">
        <is>
          <t>FBG057</t>
        </is>
      </c>
    </row>
    <row r="124" ht="30" customHeight="1" s="42">
      <c r="A124" s="26" t="inlineStr">
        <is>
          <t>A100210</t>
        </is>
      </c>
      <c r="B124" s="26" t="inlineStr">
        <is>
          <t>엑스톡스100u</t>
        </is>
      </c>
      <c r="C124" s="24" t="n">
        <v>200</v>
      </c>
      <c r="D124" s="60" t="n">
        <v>39.5</v>
      </c>
      <c r="E124" s="60" t="n">
        <v>22.5</v>
      </c>
      <c r="F124" s="60" t="n">
        <v>39.5</v>
      </c>
      <c r="G124" s="60" t="n">
        <v>6.5</v>
      </c>
      <c r="H124" s="24" t="n">
        <v>1</v>
      </c>
      <c r="I124" s="25" t="inlineStr">
        <is>
          <t>Y</t>
        </is>
      </c>
      <c r="J124" s="26" t="inlineStr">
        <is>
          <t>완박스 정보.xlsx</t>
        </is>
      </c>
      <c r="K124" s="26" t="inlineStr">
        <is>
          <t>FBX010</t>
        </is>
      </c>
      <c r="L124" s="26" t="inlineStr">
        <is>
          <t>OWN_CARTON</t>
        </is>
      </c>
      <c r="M124" s="26" t="inlineStr">
        <is>
          <t>FULLBOX_CARTON</t>
        </is>
      </c>
      <c r="N124" s="25" t="inlineStr">
        <is>
          <t>N</t>
        </is>
      </c>
      <c r="O124" s="26" t="n"/>
      <c r="P124" s="26" t="inlineStr">
        <is>
          <t>REMAINDER_TO_REPACK</t>
        </is>
      </c>
      <c r="Q124" s="25" t="inlineStr">
        <is>
          <t>OK</t>
        </is>
      </c>
      <c r="R124" s="26" t="inlineStr">
        <is>
          <t>완박스를 표준박스로 매핑하지 않고 자체 출고 카톤으로 사용</t>
        </is>
      </c>
      <c r="S124" s="27" t="inlineStr">
        <is>
          <t>FBX010</t>
        </is>
      </c>
      <c r="T124" s="27" t="inlineStr">
        <is>
          <t>완박스 39.5x22.5x39.5</t>
        </is>
      </c>
      <c r="U124" s="27" t="inlineStr">
        <is>
          <t>Y</t>
        </is>
      </c>
      <c r="V124" s="27" t="inlineStr">
        <is>
          <t>FBG043</t>
        </is>
      </c>
    </row>
    <row r="125" ht="30" customHeight="1" s="42">
      <c r="A125" s="26" t="inlineStr">
        <is>
          <t>A100220</t>
        </is>
      </c>
      <c r="B125" s="26" t="inlineStr">
        <is>
          <t>엑스톡스200u</t>
        </is>
      </c>
      <c r="C125" s="24" t="n">
        <v>200</v>
      </c>
      <c r="D125" s="60" t="n">
        <v>39.5</v>
      </c>
      <c r="E125" s="60" t="n">
        <v>22.5</v>
      </c>
      <c r="F125" s="60" t="n">
        <v>39.5</v>
      </c>
      <c r="G125" s="60" t="n">
        <v>6.5</v>
      </c>
      <c r="H125" s="24" t="n">
        <v>1</v>
      </c>
      <c r="I125" s="25" t="inlineStr">
        <is>
          <t>Y</t>
        </is>
      </c>
      <c r="J125" s="26" t="inlineStr">
        <is>
          <t>완박스 정보.xlsx</t>
        </is>
      </c>
      <c r="K125" s="26" t="inlineStr">
        <is>
          <t>FBX010</t>
        </is>
      </c>
      <c r="L125" s="26" t="inlineStr">
        <is>
          <t>OWN_CARTON</t>
        </is>
      </c>
      <c r="M125" s="26" t="inlineStr">
        <is>
          <t>FULLBOX_CARTON</t>
        </is>
      </c>
      <c r="N125" s="25" t="inlineStr">
        <is>
          <t>N</t>
        </is>
      </c>
      <c r="O125" s="26" t="n"/>
      <c r="P125" s="26" t="inlineStr">
        <is>
          <t>REMAINDER_TO_REPACK</t>
        </is>
      </c>
      <c r="Q125" s="25" t="inlineStr">
        <is>
          <t>OK</t>
        </is>
      </c>
      <c r="R125" s="26" t="inlineStr">
        <is>
          <t>완박스를 표준박스로 매핑하지 않고 자체 출고 카톤으로 사용</t>
        </is>
      </c>
      <c r="S125" s="27" t="inlineStr">
        <is>
          <t>FBX010</t>
        </is>
      </c>
      <c r="T125" s="27" t="inlineStr">
        <is>
          <t>완박스 39.5x22.5x39.5</t>
        </is>
      </c>
      <c r="U125" s="27" t="inlineStr">
        <is>
          <t>Y</t>
        </is>
      </c>
      <c r="V125" s="27" t="inlineStr">
        <is>
          <t>FBG043</t>
        </is>
      </c>
    </row>
    <row r="126" ht="30" customHeight="1" s="42">
      <c r="A126" s="26" t="inlineStr">
        <is>
          <t>B204720</t>
        </is>
      </c>
      <c r="B126" s="26" t="inlineStr">
        <is>
          <t>엘라스티 D 플러스(1syr)</t>
        </is>
      </c>
      <c r="C126" s="24" t="n">
        <v>200</v>
      </c>
      <c r="D126" s="24" t="n">
        <v>60</v>
      </c>
      <c r="E126" s="24" t="n">
        <v>38</v>
      </c>
      <c r="F126" s="60" t="n">
        <v>41.5</v>
      </c>
      <c r="G126" s="60" t="n">
        <v>10.7</v>
      </c>
      <c r="H126" s="24" t="n">
        <v>1</v>
      </c>
      <c r="I126" s="25" t="inlineStr">
        <is>
          <t>Y</t>
        </is>
      </c>
      <c r="J126" s="26" t="inlineStr">
        <is>
          <t>완박스 정보.xlsx</t>
        </is>
      </c>
      <c r="K126" s="26" t="inlineStr">
        <is>
          <t>FBX086</t>
        </is>
      </c>
      <c r="L126" s="26" t="inlineStr">
        <is>
          <t>OWN_CARTON</t>
        </is>
      </c>
      <c r="M126" s="26" t="inlineStr">
        <is>
          <t>FULLBOX_CARTON</t>
        </is>
      </c>
      <c r="N126" s="25" t="inlineStr">
        <is>
          <t>N</t>
        </is>
      </c>
      <c r="O126" s="26" t="n"/>
      <c r="P126" s="26" t="inlineStr">
        <is>
          <t>REMAINDER_TO_REPACK</t>
        </is>
      </c>
      <c r="Q126" s="25" t="inlineStr">
        <is>
          <t>OK</t>
        </is>
      </c>
      <c r="R126" s="26" t="inlineStr">
        <is>
          <t>완박스를 표준박스로 매핑하지 않고 자체 출고 카톤으로 사용</t>
        </is>
      </c>
      <c r="S126" s="27" t="inlineStr">
        <is>
          <t>FBX086</t>
        </is>
      </c>
      <c r="T126" s="27" t="inlineStr">
        <is>
          <t>완박스 60x38x41.5</t>
        </is>
      </c>
      <c r="U126" s="27" t="inlineStr">
        <is>
          <t>Y</t>
        </is>
      </c>
      <c r="V126" s="27" t="inlineStr">
        <is>
          <t>FBG046</t>
        </is>
      </c>
    </row>
    <row r="127" ht="30" customHeight="1" s="42">
      <c r="A127" s="26" t="inlineStr">
        <is>
          <t>B204520</t>
        </is>
      </c>
      <c r="B127" s="26" t="inlineStr">
        <is>
          <t>엘라스티 D 플러스(2syr)</t>
        </is>
      </c>
      <c r="C127" s="24" t="n">
        <v>100</v>
      </c>
      <c r="D127" s="24" t="n">
        <v>52</v>
      </c>
      <c r="E127" s="24" t="n">
        <v>42</v>
      </c>
      <c r="F127" s="24" t="n">
        <v>42</v>
      </c>
      <c r="G127" s="60" t="n">
        <v>9.6</v>
      </c>
      <c r="H127" s="24" t="n">
        <v>1</v>
      </c>
      <c r="I127" s="25" t="inlineStr">
        <is>
          <t>Y</t>
        </is>
      </c>
      <c r="J127" s="26" t="inlineStr">
        <is>
          <t>완박스 정보.xlsx</t>
        </is>
      </c>
      <c r="K127" s="26" t="inlineStr">
        <is>
          <t>FBX065</t>
        </is>
      </c>
      <c r="L127" s="26" t="inlineStr">
        <is>
          <t>OWN_CARTON</t>
        </is>
      </c>
      <c r="M127" s="26" t="inlineStr">
        <is>
          <t>FULLBOX_CARTON</t>
        </is>
      </c>
      <c r="N127" s="25" t="inlineStr">
        <is>
          <t>N</t>
        </is>
      </c>
      <c r="O127" s="26" t="n"/>
      <c r="P127" s="26" t="inlineStr">
        <is>
          <t>REMAINDER_TO_REPACK</t>
        </is>
      </c>
      <c r="Q127" s="25" t="inlineStr">
        <is>
          <t>OK</t>
        </is>
      </c>
      <c r="R127" s="26" t="inlineStr">
        <is>
          <t>완박스를 표준박스로 매핑하지 않고 자체 출고 카톤으로 사용</t>
        </is>
      </c>
      <c r="S127" s="27" t="inlineStr">
        <is>
          <t>FBX065</t>
        </is>
      </c>
      <c r="T127" s="27" t="inlineStr">
        <is>
          <t>완박스 52x42x42</t>
        </is>
      </c>
      <c r="U127" s="27" t="inlineStr">
        <is>
          <t>Y</t>
        </is>
      </c>
      <c r="V127" s="27" t="inlineStr">
        <is>
          <t>FBG030</t>
        </is>
      </c>
    </row>
    <row r="128" ht="30" customHeight="1" s="42">
      <c r="A128" s="26" t="inlineStr">
        <is>
          <t>B204620</t>
        </is>
      </c>
      <c r="B128" s="26" t="inlineStr">
        <is>
          <t>엘라스티 D(2syr)</t>
        </is>
      </c>
      <c r="C128" s="24" t="n">
        <v>100</v>
      </c>
      <c r="D128" s="24" t="n">
        <v>52</v>
      </c>
      <c r="E128" s="24" t="n">
        <v>42</v>
      </c>
      <c r="F128" s="24" t="n">
        <v>42</v>
      </c>
      <c r="G128" s="60" t="n">
        <v>9.6</v>
      </c>
      <c r="H128" s="24" t="n">
        <v>1</v>
      </c>
      <c r="I128" s="25" t="inlineStr">
        <is>
          <t>Y</t>
        </is>
      </c>
      <c r="J128" s="26" t="inlineStr">
        <is>
          <t>완박스 정보.xlsx</t>
        </is>
      </c>
      <c r="K128" s="26" t="inlineStr">
        <is>
          <t>FBX065</t>
        </is>
      </c>
      <c r="L128" s="26" t="inlineStr">
        <is>
          <t>OWN_CARTON</t>
        </is>
      </c>
      <c r="M128" s="26" t="inlineStr">
        <is>
          <t>FULLBOX_CARTON</t>
        </is>
      </c>
      <c r="N128" s="25" t="inlineStr">
        <is>
          <t>N</t>
        </is>
      </c>
      <c r="O128" s="26" t="n"/>
      <c r="P128" s="26" t="inlineStr">
        <is>
          <t>REMAINDER_TO_REPACK</t>
        </is>
      </c>
      <c r="Q128" s="25" t="inlineStr">
        <is>
          <t>OK</t>
        </is>
      </c>
      <c r="R128" s="26" t="inlineStr">
        <is>
          <t>완박스를 표준박스로 매핑하지 않고 자체 출고 카톤으로 사용</t>
        </is>
      </c>
      <c r="S128" s="27" t="inlineStr">
        <is>
          <t>FBX065</t>
        </is>
      </c>
      <c r="T128" s="27" t="inlineStr">
        <is>
          <t>완박스 52x42x42</t>
        </is>
      </c>
      <c r="U128" s="27" t="inlineStr">
        <is>
          <t>Y</t>
        </is>
      </c>
      <c r="V128" s="27" t="inlineStr">
        <is>
          <t>FBG030</t>
        </is>
      </c>
    </row>
    <row r="129" ht="30" customHeight="1" s="42">
      <c r="A129" s="26" t="inlineStr">
        <is>
          <t>B204730</t>
        </is>
      </c>
      <c r="B129" s="26" t="inlineStr">
        <is>
          <t>엘라스티 F 플러스(1syr)</t>
        </is>
      </c>
      <c r="C129" s="24" t="n">
        <v>200</v>
      </c>
      <c r="D129" s="24" t="n">
        <v>60</v>
      </c>
      <c r="E129" s="24" t="n">
        <v>38</v>
      </c>
      <c r="F129" s="60" t="n">
        <v>41.5</v>
      </c>
      <c r="G129" s="60" t="n">
        <v>10.7</v>
      </c>
      <c r="H129" s="24" t="n">
        <v>1</v>
      </c>
      <c r="I129" s="25" t="inlineStr">
        <is>
          <t>Y</t>
        </is>
      </c>
      <c r="J129" s="26" t="inlineStr">
        <is>
          <t>완박스 정보.xlsx</t>
        </is>
      </c>
      <c r="K129" s="26" t="inlineStr">
        <is>
          <t>FBX086</t>
        </is>
      </c>
      <c r="L129" s="26" t="inlineStr">
        <is>
          <t>OWN_CARTON</t>
        </is>
      </c>
      <c r="M129" s="26" t="inlineStr">
        <is>
          <t>FULLBOX_CARTON</t>
        </is>
      </c>
      <c r="N129" s="25" t="inlineStr">
        <is>
          <t>N</t>
        </is>
      </c>
      <c r="O129" s="26" t="n"/>
      <c r="P129" s="26" t="inlineStr">
        <is>
          <t>REMAINDER_TO_REPACK</t>
        </is>
      </c>
      <c r="Q129" s="25" t="inlineStr">
        <is>
          <t>OK</t>
        </is>
      </c>
      <c r="R129" s="26" t="inlineStr">
        <is>
          <t>완박스를 표준박스로 매핑하지 않고 자체 출고 카톤으로 사용</t>
        </is>
      </c>
      <c r="S129" s="27" t="inlineStr">
        <is>
          <t>FBX086</t>
        </is>
      </c>
      <c r="T129" s="27" t="inlineStr">
        <is>
          <t>완박스 60x38x41.5</t>
        </is>
      </c>
      <c r="U129" s="27" t="inlineStr">
        <is>
          <t>Y</t>
        </is>
      </c>
      <c r="V129" s="27" t="inlineStr">
        <is>
          <t>FBG046</t>
        </is>
      </c>
    </row>
    <row r="130" ht="30" customHeight="1" s="42">
      <c r="A130" s="26" t="inlineStr">
        <is>
          <t>B204530</t>
        </is>
      </c>
      <c r="B130" s="26" t="inlineStr">
        <is>
          <t>엘라스티 F 플러스(2syr)</t>
        </is>
      </c>
      <c r="C130" s="24" t="n">
        <v>100</v>
      </c>
      <c r="D130" s="24" t="n">
        <v>52</v>
      </c>
      <c r="E130" s="24" t="n">
        <v>42</v>
      </c>
      <c r="F130" s="24" t="n">
        <v>42</v>
      </c>
      <c r="G130" s="60" t="n">
        <v>9.6</v>
      </c>
      <c r="H130" s="24" t="n">
        <v>1</v>
      </c>
      <c r="I130" s="25" t="inlineStr">
        <is>
          <t>Y</t>
        </is>
      </c>
      <c r="J130" s="26" t="inlineStr">
        <is>
          <t>완박스 정보.xlsx</t>
        </is>
      </c>
      <c r="K130" s="26" t="inlineStr">
        <is>
          <t>FBX065</t>
        </is>
      </c>
      <c r="L130" s="26" t="inlineStr">
        <is>
          <t>OWN_CARTON</t>
        </is>
      </c>
      <c r="M130" s="26" t="inlineStr">
        <is>
          <t>FULLBOX_CARTON</t>
        </is>
      </c>
      <c r="N130" s="25" t="inlineStr">
        <is>
          <t>N</t>
        </is>
      </c>
      <c r="O130" s="26" t="n"/>
      <c r="P130" s="26" t="inlineStr">
        <is>
          <t>REMAINDER_TO_REPACK</t>
        </is>
      </c>
      <c r="Q130" s="25" t="inlineStr">
        <is>
          <t>OK</t>
        </is>
      </c>
      <c r="R130" s="26" t="inlineStr">
        <is>
          <t>완박스를 표준박스로 매핑하지 않고 자체 출고 카톤으로 사용</t>
        </is>
      </c>
      <c r="S130" s="27" t="inlineStr">
        <is>
          <t>FBX065</t>
        </is>
      </c>
      <c r="T130" s="27" t="inlineStr">
        <is>
          <t>완박스 52x42x42</t>
        </is>
      </c>
      <c r="U130" s="27" t="inlineStr">
        <is>
          <t>Y</t>
        </is>
      </c>
      <c r="V130" s="27" t="inlineStr">
        <is>
          <t>FBG030</t>
        </is>
      </c>
    </row>
    <row r="131" ht="30" customHeight="1" s="42">
      <c r="A131" s="26" t="inlineStr">
        <is>
          <t>B204630</t>
        </is>
      </c>
      <c r="B131" s="26" t="inlineStr">
        <is>
          <t>엘라스티 F(2syr)</t>
        </is>
      </c>
      <c r="C131" s="24" t="n">
        <v>100</v>
      </c>
      <c r="D131" s="24" t="n">
        <v>52</v>
      </c>
      <c r="E131" s="24" t="n">
        <v>42</v>
      </c>
      <c r="F131" s="24" t="n">
        <v>42</v>
      </c>
      <c r="G131" s="60" t="n">
        <v>9.6</v>
      </c>
      <c r="H131" s="24" t="n">
        <v>1</v>
      </c>
      <c r="I131" s="25" t="inlineStr">
        <is>
          <t>Y</t>
        </is>
      </c>
      <c r="J131" s="26" t="inlineStr">
        <is>
          <t>완박스 정보.xlsx</t>
        </is>
      </c>
      <c r="K131" s="26" t="inlineStr">
        <is>
          <t>FBX065</t>
        </is>
      </c>
      <c r="L131" s="26" t="inlineStr">
        <is>
          <t>OWN_CARTON</t>
        </is>
      </c>
      <c r="M131" s="26" t="inlineStr">
        <is>
          <t>FULLBOX_CARTON</t>
        </is>
      </c>
      <c r="N131" s="25" t="inlineStr">
        <is>
          <t>N</t>
        </is>
      </c>
      <c r="O131" s="26" t="n"/>
      <c r="P131" s="26" t="inlineStr">
        <is>
          <t>REMAINDER_TO_REPACK</t>
        </is>
      </c>
      <c r="Q131" s="25" t="inlineStr">
        <is>
          <t>OK</t>
        </is>
      </c>
      <c r="R131" s="26" t="inlineStr">
        <is>
          <t>완박스를 표준박스로 매핑하지 않고 자체 출고 카톤으로 사용</t>
        </is>
      </c>
      <c r="S131" s="27" t="inlineStr">
        <is>
          <t>FBX065</t>
        </is>
      </c>
      <c r="T131" s="27" t="inlineStr">
        <is>
          <t>완박스 52x42x42</t>
        </is>
      </c>
      <c r="U131" s="27" t="inlineStr">
        <is>
          <t>Y</t>
        </is>
      </c>
      <c r="V131" s="27" t="inlineStr">
        <is>
          <t>FBG030</t>
        </is>
      </c>
    </row>
    <row r="132" ht="30" customHeight="1" s="42">
      <c r="A132" s="26" t="inlineStr">
        <is>
          <t>B204710</t>
        </is>
      </c>
      <c r="B132" s="26" t="inlineStr">
        <is>
          <t>엘라스티 G 플러스(1syr)</t>
        </is>
      </c>
      <c r="C132" s="24" t="n">
        <v>200</v>
      </c>
      <c r="D132" s="24" t="n">
        <v>60</v>
      </c>
      <c r="E132" s="24" t="n">
        <v>38</v>
      </c>
      <c r="F132" s="60" t="n">
        <v>41.5</v>
      </c>
      <c r="G132" s="60" t="n">
        <v>10.7</v>
      </c>
      <c r="H132" s="24" t="n">
        <v>1</v>
      </c>
      <c r="I132" s="25" t="inlineStr">
        <is>
          <t>Y</t>
        </is>
      </c>
      <c r="J132" s="26" t="inlineStr">
        <is>
          <t>완박스 정보.xlsx</t>
        </is>
      </c>
      <c r="K132" s="26" t="inlineStr">
        <is>
          <t>FBX086</t>
        </is>
      </c>
      <c r="L132" s="26" t="inlineStr">
        <is>
          <t>OWN_CARTON</t>
        </is>
      </c>
      <c r="M132" s="26" t="inlineStr">
        <is>
          <t>FULLBOX_CARTON</t>
        </is>
      </c>
      <c r="N132" s="25" t="inlineStr">
        <is>
          <t>N</t>
        </is>
      </c>
      <c r="O132" s="26" t="n"/>
      <c r="P132" s="26" t="inlineStr">
        <is>
          <t>REMAINDER_TO_REPACK</t>
        </is>
      </c>
      <c r="Q132" s="25" t="inlineStr">
        <is>
          <t>OK</t>
        </is>
      </c>
      <c r="R132" s="26" t="inlineStr">
        <is>
          <t>완박스를 표준박스로 매핑하지 않고 자체 출고 카톤으로 사용</t>
        </is>
      </c>
      <c r="S132" s="27" t="inlineStr">
        <is>
          <t>FBX086</t>
        </is>
      </c>
      <c r="T132" s="27" t="inlineStr">
        <is>
          <t>완박스 60x38x41.5</t>
        </is>
      </c>
      <c r="U132" s="27" t="inlineStr">
        <is>
          <t>Y</t>
        </is>
      </c>
      <c r="V132" s="27" t="inlineStr">
        <is>
          <t>FBG046</t>
        </is>
      </c>
    </row>
    <row r="133" ht="30" customHeight="1" s="42">
      <c r="A133" s="26" t="inlineStr">
        <is>
          <t>B204510</t>
        </is>
      </c>
      <c r="B133" s="26" t="inlineStr">
        <is>
          <t>엘라스티 G 플러스(2syr)</t>
        </is>
      </c>
      <c r="C133" s="24" t="n">
        <v>100</v>
      </c>
      <c r="D133" s="24" t="n">
        <v>52</v>
      </c>
      <c r="E133" s="24" t="n">
        <v>42</v>
      </c>
      <c r="F133" s="24" t="n">
        <v>42</v>
      </c>
      <c r="G133" s="60" t="n">
        <v>9.6</v>
      </c>
      <c r="H133" s="24" t="n">
        <v>1</v>
      </c>
      <c r="I133" s="25" t="inlineStr">
        <is>
          <t>Y</t>
        </is>
      </c>
      <c r="J133" s="26" t="inlineStr">
        <is>
          <t>완박스 정보.xlsx</t>
        </is>
      </c>
      <c r="K133" s="26" t="inlineStr">
        <is>
          <t>FBX065</t>
        </is>
      </c>
      <c r="L133" s="26" t="inlineStr">
        <is>
          <t>OWN_CARTON</t>
        </is>
      </c>
      <c r="M133" s="26" t="inlineStr">
        <is>
          <t>FULLBOX_CARTON</t>
        </is>
      </c>
      <c r="N133" s="25" t="inlineStr">
        <is>
          <t>N</t>
        </is>
      </c>
      <c r="O133" s="26" t="n"/>
      <c r="P133" s="26" t="inlineStr">
        <is>
          <t>REMAINDER_TO_REPACK</t>
        </is>
      </c>
      <c r="Q133" s="25" t="inlineStr">
        <is>
          <t>OK</t>
        </is>
      </c>
      <c r="R133" s="26" t="inlineStr">
        <is>
          <t>완박스를 표준박스로 매핑하지 않고 자체 출고 카톤으로 사용</t>
        </is>
      </c>
      <c r="S133" s="27" t="inlineStr">
        <is>
          <t>FBX065</t>
        </is>
      </c>
      <c r="T133" s="27" t="inlineStr">
        <is>
          <t>완박스 52x42x42</t>
        </is>
      </c>
      <c r="U133" s="27" t="inlineStr">
        <is>
          <t>Y</t>
        </is>
      </c>
      <c r="V133" s="27" t="inlineStr">
        <is>
          <t>FBG030</t>
        </is>
      </c>
    </row>
    <row r="134" ht="30" customHeight="1" s="42">
      <c r="A134" s="26" t="inlineStr">
        <is>
          <t>B204610</t>
        </is>
      </c>
      <c r="B134" s="26" t="inlineStr">
        <is>
          <t>엘라스티 G(2syr)</t>
        </is>
      </c>
      <c r="C134" s="24" t="n">
        <v>100</v>
      </c>
      <c r="D134" s="24" t="n">
        <v>52</v>
      </c>
      <c r="E134" s="24" t="n">
        <v>42</v>
      </c>
      <c r="F134" s="24" t="n">
        <v>42</v>
      </c>
      <c r="G134" s="60" t="n">
        <v>9.6</v>
      </c>
      <c r="H134" s="24" t="n">
        <v>1</v>
      </c>
      <c r="I134" s="25" t="inlineStr">
        <is>
          <t>Y</t>
        </is>
      </c>
      <c r="J134" s="26" t="inlineStr">
        <is>
          <t>완박스 정보.xlsx</t>
        </is>
      </c>
      <c r="K134" s="26" t="inlineStr">
        <is>
          <t>FBX065</t>
        </is>
      </c>
      <c r="L134" s="26" t="inlineStr">
        <is>
          <t>OWN_CARTON</t>
        </is>
      </c>
      <c r="M134" s="26" t="inlineStr">
        <is>
          <t>FULLBOX_CARTON</t>
        </is>
      </c>
      <c r="N134" s="25" t="inlineStr">
        <is>
          <t>N</t>
        </is>
      </c>
      <c r="O134" s="26" t="n"/>
      <c r="P134" s="26" t="inlineStr">
        <is>
          <t>REMAINDER_TO_REPACK</t>
        </is>
      </c>
      <c r="Q134" s="25" t="inlineStr">
        <is>
          <t>OK</t>
        </is>
      </c>
      <c r="R134" s="26" t="inlineStr">
        <is>
          <t>완박스를 표준박스로 매핑하지 않고 자체 출고 카톤으로 사용</t>
        </is>
      </c>
      <c r="S134" s="27" t="inlineStr">
        <is>
          <t>FBX065</t>
        </is>
      </c>
      <c r="T134" s="27" t="inlineStr">
        <is>
          <t>완박스 52x42x42</t>
        </is>
      </c>
      <c r="U134" s="27" t="inlineStr">
        <is>
          <t>Y</t>
        </is>
      </c>
      <c r="V134" s="27" t="inlineStr">
        <is>
          <t>FBG030</t>
        </is>
      </c>
    </row>
    <row r="135">
      <c r="A135" s="26" t="inlineStr">
        <is>
          <t>B101010</t>
        </is>
      </c>
      <c r="B135" s="26" t="inlineStr">
        <is>
          <t>원더톡스100u</t>
        </is>
      </c>
      <c r="C135" s="24" t="n">
        <v>100</v>
      </c>
      <c r="D135" s="24" t="n">
        <v>49</v>
      </c>
      <c r="E135" s="60" t="n">
        <v>18.5</v>
      </c>
      <c r="F135" s="24" t="n">
        <v>17</v>
      </c>
      <c r="G135" s="60" t="n">
        <v>2.9</v>
      </c>
      <c r="H135" s="24" t="n">
        <v>1</v>
      </c>
      <c r="I135" s="25" t="inlineStr">
        <is>
          <t>Y</t>
        </is>
      </c>
      <c r="J135" s="26" t="inlineStr">
        <is>
          <t>완박스 정보.xlsx</t>
        </is>
      </c>
      <c r="K135" s="26" t="inlineStr">
        <is>
          <t>FBX058</t>
        </is>
      </c>
      <c r="L135" s="26" t="inlineStr">
        <is>
          <t>OWN_CARTON</t>
        </is>
      </c>
      <c r="M135" s="26" t="inlineStr">
        <is>
          <t>FULLBOX_CARTON</t>
        </is>
      </c>
      <c r="N135" s="25" t="inlineStr">
        <is>
          <t>N</t>
        </is>
      </c>
      <c r="O135" s="26" t="n"/>
      <c r="P135" s="26" t="inlineStr">
        <is>
          <t>REMAINDER_TO_REPACK</t>
        </is>
      </c>
      <c r="Q135" s="25" t="inlineStr">
        <is>
          <t>OK</t>
        </is>
      </c>
      <c r="R135" s="26" t="inlineStr">
        <is>
          <t>완박스를 표준박스로 매핑하지 않고 자체 출고 카톤으로 사용</t>
        </is>
      </c>
      <c r="S135" s="27" t="inlineStr">
        <is>
          <t>FBX058</t>
        </is>
      </c>
      <c r="T135" s="27" t="inlineStr">
        <is>
          <t>완박스 49x18.5x17</t>
        </is>
      </c>
      <c r="U135" s="27" t="inlineStr">
        <is>
          <t>Y</t>
        </is>
      </c>
      <c r="V135" s="27" t="inlineStr">
        <is>
          <t>FBG028</t>
        </is>
      </c>
    </row>
    <row r="136">
      <c r="A136" s="26" t="inlineStr">
        <is>
          <t>B101020</t>
        </is>
      </c>
      <c r="B136" s="26" t="inlineStr">
        <is>
          <t>원더톡스200u</t>
        </is>
      </c>
      <c r="C136" s="24" t="n">
        <v>100</v>
      </c>
      <c r="D136" s="24" t="n">
        <v>49</v>
      </c>
      <c r="E136" s="60" t="n">
        <v>18.5</v>
      </c>
      <c r="F136" s="24" t="n">
        <v>17</v>
      </c>
      <c r="G136" s="60" t="n">
        <v>2.9</v>
      </c>
      <c r="H136" s="24" t="n">
        <v>1</v>
      </c>
      <c r="I136" s="25" t="inlineStr">
        <is>
          <t>Y</t>
        </is>
      </c>
      <c r="J136" s="26" t="inlineStr">
        <is>
          <t>완박스 정보.xlsx</t>
        </is>
      </c>
      <c r="K136" s="26" t="inlineStr">
        <is>
          <t>FBX058</t>
        </is>
      </c>
      <c r="L136" s="26" t="inlineStr">
        <is>
          <t>OWN_CARTON</t>
        </is>
      </c>
      <c r="M136" s="26" t="inlineStr">
        <is>
          <t>FULLBOX_CARTON</t>
        </is>
      </c>
      <c r="N136" s="25" t="inlineStr">
        <is>
          <t>N</t>
        </is>
      </c>
      <c r="O136" s="26" t="n"/>
      <c r="P136" s="26" t="inlineStr">
        <is>
          <t>REMAINDER_TO_REPACK</t>
        </is>
      </c>
      <c r="Q136" s="25" t="inlineStr">
        <is>
          <t>OK</t>
        </is>
      </c>
      <c r="R136" s="26" t="inlineStr">
        <is>
          <t>완박스를 표준박스로 매핑하지 않고 자체 출고 카톤으로 사용</t>
        </is>
      </c>
      <c r="S136" s="27" t="inlineStr">
        <is>
          <t>FBX058</t>
        </is>
      </c>
      <c r="T136" s="27" t="inlineStr">
        <is>
          <t>완박스 49x18.5x17</t>
        </is>
      </c>
      <c r="U136" s="27" t="inlineStr">
        <is>
          <t>Y</t>
        </is>
      </c>
      <c r="V136" s="27" t="inlineStr">
        <is>
          <t>FBG028</t>
        </is>
      </c>
    </row>
    <row r="137" ht="30" customHeight="1" s="42">
      <c r="A137" s="26" t="inlineStr">
        <is>
          <t>A100310</t>
        </is>
      </c>
      <c r="B137" s="26" t="inlineStr">
        <is>
          <t>원톡스100U</t>
        </is>
      </c>
      <c r="C137" s="24" t="n">
        <v>200</v>
      </c>
      <c r="D137" s="60" t="n">
        <v>39.5</v>
      </c>
      <c r="E137" s="60" t="n">
        <v>22.5</v>
      </c>
      <c r="F137" s="60" t="n">
        <v>39.5</v>
      </c>
      <c r="G137" s="60" t="n">
        <v>6.5</v>
      </c>
      <c r="H137" s="24" t="n">
        <v>1</v>
      </c>
      <c r="I137" s="25" t="inlineStr">
        <is>
          <t>Y</t>
        </is>
      </c>
      <c r="J137" s="26" t="inlineStr">
        <is>
          <t>완박스 정보.xlsx</t>
        </is>
      </c>
      <c r="K137" s="26" t="inlineStr">
        <is>
          <t>FBX010</t>
        </is>
      </c>
      <c r="L137" s="26" t="inlineStr">
        <is>
          <t>OWN_CARTON</t>
        </is>
      </c>
      <c r="M137" s="26" t="inlineStr">
        <is>
          <t>FULLBOX_CARTON</t>
        </is>
      </c>
      <c r="N137" s="25" t="inlineStr">
        <is>
          <t>N</t>
        </is>
      </c>
      <c r="O137" s="26" t="n"/>
      <c r="P137" s="26" t="inlineStr">
        <is>
          <t>REMAINDER_TO_REPACK</t>
        </is>
      </c>
      <c r="Q137" s="25" t="inlineStr">
        <is>
          <t>OK</t>
        </is>
      </c>
      <c r="R137" s="26" t="inlineStr">
        <is>
          <t>완박스를 표준박스로 매핑하지 않고 자체 출고 카톤으로 사용</t>
        </is>
      </c>
      <c r="S137" s="27" t="inlineStr">
        <is>
          <t>FBX010</t>
        </is>
      </c>
      <c r="T137" s="27" t="inlineStr">
        <is>
          <t>완박스 39.5x22.5x39.5</t>
        </is>
      </c>
      <c r="U137" s="27" t="inlineStr">
        <is>
          <t>Y</t>
        </is>
      </c>
      <c r="V137" s="27" t="inlineStr">
        <is>
          <t>FBG043</t>
        </is>
      </c>
    </row>
    <row r="138" ht="30" customHeight="1" s="42">
      <c r="A138" s="26" t="inlineStr">
        <is>
          <t>A100320</t>
        </is>
      </c>
      <c r="B138" s="26" t="inlineStr">
        <is>
          <t>원톡스200U</t>
        </is>
      </c>
      <c r="C138" s="24" t="n">
        <v>200</v>
      </c>
      <c r="D138" s="60" t="n">
        <v>39.5</v>
      </c>
      <c r="E138" s="60" t="n">
        <v>22.5</v>
      </c>
      <c r="F138" s="60" t="n">
        <v>39.5</v>
      </c>
      <c r="G138" s="60" t="n">
        <v>6.5</v>
      </c>
      <c r="H138" s="24" t="n">
        <v>1</v>
      </c>
      <c r="I138" s="25" t="inlineStr">
        <is>
          <t>Y</t>
        </is>
      </c>
      <c r="J138" s="26" t="inlineStr">
        <is>
          <t>완박스 정보.xlsx</t>
        </is>
      </c>
      <c r="K138" s="26" t="inlineStr">
        <is>
          <t>FBX010</t>
        </is>
      </c>
      <c r="L138" s="26" t="inlineStr">
        <is>
          <t>OWN_CARTON</t>
        </is>
      </c>
      <c r="M138" s="26" t="inlineStr">
        <is>
          <t>FULLBOX_CARTON</t>
        </is>
      </c>
      <c r="N138" s="25" t="inlineStr">
        <is>
          <t>N</t>
        </is>
      </c>
      <c r="O138" s="26" t="n"/>
      <c r="P138" s="26" t="inlineStr">
        <is>
          <t>REMAINDER_TO_REPACK</t>
        </is>
      </c>
      <c r="Q138" s="25" t="inlineStr">
        <is>
          <t>OK</t>
        </is>
      </c>
      <c r="R138" s="26" t="inlineStr">
        <is>
          <t>완박스를 표준박스로 매핑하지 않고 자체 출고 카톤으로 사용</t>
        </is>
      </c>
      <c r="S138" s="27" t="inlineStr">
        <is>
          <t>FBX010</t>
        </is>
      </c>
      <c r="T138" s="27" t="inlineStr">
        <is>
          <t>완박스 39.5x22.5x39.5</t>
        </is>
      </c>
      <c r="U138" s="27" t="inlineStr">
        <is>
          <t>Y</t>
        </is>
      </c>
      <c r="V138" s="27" t="inlineStr">
        <is>
          <t>FBG043</t>
        </is>
      </c>
    </row>
    <row r="139" ht="30" customHeight="1" s="42">
      <c r="A139" s="26" t="inlineStr">
        <is>
          <t>A200666</t>
        </is>
      </c>
      <c r="B139" s="26" t="inlineStr">
        <is>
          <t>원필 딥 리도 (R)</t>
        </is>
      </c>
      <c r="C139" s="24" t="n">
        <v>100</v>
      </c>
      <c r="D139" s="60" t="n">
        <v>45.5</v>
      </c>
      <c r="E139" s="24" t="n">
        <v>37</v>
      </c>
      <c r="F139" s="60" t="n">
        <v>32.5</v>
      </c>
      <c r="G139" s="60" t="n">
        <v>6.3</v>
      </c>
      <c r="H139" s="24" t="n">
        <v>1</v>
      </c>
      <c r="I139" s="25" t="inlineStr">
        <is>
          <t>Y</t>
        </is>
      </c>
      <c r="J139" s="26" t="inlineStr">
        <is>
          <t>완박스 정보.xlsx</t>
        </is>
      </c>
      <c r="K139" s="26" t="inlineStr">
        <is>
          <t>FBX038</t>
        </is>
      </c>
      <c r="L139" s="26" t="inlineStr">
        <is>
          <t>OWN_CARTON</t>
        </is>
      </c>
      <c r="M139" s="26" t="inlineStr">
        <is>
          <t>FULLBOX_CARTON</t>
        </is>
      </c>
      <c r="N139" s="25" t="inlineStr">
        <is>
          <t>N</t>
        </is>
      </c>
      <c r="O139" s="26" t="n"/>
      <c r="P139" s="26" t="inlineStr">
        <is>
          <t>REMAINDER_TO_REPACK</t>
        </is>
      </c>
      <c r="Q139" s="25" t="inlineStr">
        <is>
          <t>OK</t>
        </is>
      </c>
      <c r="R139" s="26" t="inlineStr">
        <is>
          <t>완박스를 표준박스로 매핑하지 않고 자체 출고 카톤으로 사용</t>
        </is>
      </c>
      <c r="S139" s="27" t="inlineStr">
        <is>
          <t>FBX038</t>
        </is>
      </c>
      <c r="T139" s="27" t="inlineStr">
        <is>
          <t>완박스 45.5x37x32.5</t>
        </is>
      </c>
      <c r="U139" s="27" t="inlineStr">
        <is>
          <t>Y</t>
        </is>
      </c>
      <c r="V139" s="27" t="inlineStr">
        <is>
          <t>FBG023</t>
        </is>
      </c>
    </row>
    <row r="140">
      <c r="A140" s="26" t="inlineStr">
        <is>
          <t>A200650</t>
        </is>
      </c>
      <c r="B140" s="26" t="inlineStr">
        <is>
          <t>원필 딥 리도 CE</t>
        </is>
      </c>
      <c r="C140" s="24" t="n">
        <v>100</v>
      </c>
      <c r="D140" s="24" t="n">
        <v>43</v>
      </c>
      <c r="E140" s="24" t="n">
        <v>37</v>
      </c>
      <c r="F140" s="24" t="n">
        <v>30</v>
      </c>
      <c r="G140" s="60" t="n">
        <v>5.6</v>
      </c>
      <c r="H140" s="24" t="n">
        <v>1</v>
      </c>
      <c r="I140" s="25" t="inlineStr">
        <is>
          <t>Y</t>
        </is>
      </c>
      <c r="J140" s="26" t="inlineStr">
        <is>
          <t>완박스 정보.xlsx</t>
        </is>
      </c>
      <c r="K140" s="26" t="inlineStr">
        <is>
          <t>FBX029</t>
        </is>
      </c>
      <c r="L140" s="26" t="inlineStr">
        <is>
          <t>OWN_CARTON</t>
        </is>
      </c>
      <c r="M140" s="26" t="inlineStr">
        <is>
          <t>FULLBOX_CARTON</t>
        </is>
      </c>
      <c r="N140" s="25" t="inlineStr">
        <is>
          <t>N</t>
        </is>
      </c>
      <c r="O140" s="26" t="n"/>
      <c r="P140" s="26" t="inlineStr">
        <is>
          <t>REMAINDER_TO_REPACK</t>
        </is>
      </c>
      <c r="Q140" s="25" t="inlineStr">
        <is>
          <t>OK</t>
        </is>
      </c>
      <c r="R140" s="26" t="inlineStr">
        <is>
          <t>완박스를 표준박스로 매핑하지 않고 자체 출고 카톤으로 사용</t>
        </is>
      </c>
      <c r="S140" s="27" t="inlineStr">
        <is>
          <t>FBX029</t>
        </is>
      </c>
      <c r="T140" s="27" t="inlineStr">
        <is>
          <t>완박스 43x37x30</t>
        </is>
      </c>
      <c r="U140" s="27" t="inlineStr">
        <is>
          <t>Y</t>
        </is>
      </c>
      <c r="V140" s="27" t="inlineStr">
        <is>
          <t>FBG013</t>
        </is>
      </c>
    </row>
    <row r="141">
      <c r="A141" s="26" t="inlineStr">
        <is>
          <t>A200632</t>
        </is>
      </c>
      <c r="B141" s="26" t="inlineStr">
        <is>
          <t>원필 비타글로우 리도</t>
        </is>
      </c>
      <c r="C141" s="24" t="n">
        <v>50</v>
      </c>
      <c r="D141" s="24" t="n">
        <v>40</v>
      </c>
      <c r="E141" s="24" t="n">
        <v>39</v>
      </c>
      <c r="F141" s="60" t="n">
        <v>27.5</v>
      </c>
      <c r="G141" s="60" t="n">
        <v>5.45</v>
      </c>
      <c r="H141" s="24" t="n">
        <v>1</v>
      </c>
      <c r="I141" s="25" t="inlineStr">
        <is>
          <t>Y</t>
        </is>
      </c>
      <c r="J141" s="26" t="inlineStr">
        <is>
          <t>완박스 정보.xlsx</t>
        </is>
      </c>
      <c r="K141" s="26" t="inlineStr">
        <is>
          <t>FBX017</t>
        </is>
      </c>
      <c r="L141" s="26" t="inlineStr">
        <is>
          <t>OWN_CARTON</t>
        </is>
      </c>
      <c r="M141" s="26" t="inlineStr">
        <is>
          <t>FULLBOX_CARTON</t>
        </is>
      </c>
      <c r="N141" s="25" t="inlineStr">
        <is>
          <t>N</t>
        </is>
      </c>
      <c r="O141" s="26" t="n"/>
      <c r="P141" s="26" t="inlineStr">
        <is>
          <t>REMAINDER_TO_REPACK</t>
        </is>
      </c>
      <c r="Q141" s="25" t="inlineStr">
        <is>
          <t>OK</t>
        </is>
      </c>
      <c r="R141" s="26" t="inlineStr">
        <is>
          <t>완박스를 표준박스로 매핑하지 않고 자체 출고 카톤으로 사용</t>
        </is>
      </c>
      <c r="S141" s="27" t="inlineStr">
        <is>
          <t>FBX017</t>
        </is>
      </c>
      <c r="T141" s="27" t="inlineStr">
        <is>
          <t>완박스 40x39x27.5</t>
        </is>
      </c>
      <c r="U141" s="27" t="inlineStr">
        <is>
          <t>Y</t>
        </is>
      </c>
      <c r="V141" s="27" t="inlineStr">
        <is>
          <t>FBG068</t>
        </is>
      </c>
    </row>
    <row r="142" ht="30" customHeight="1" s="42">
      <c r="A142" s="26" t="inlineStr">
        <is>
          <t>A200664</t>
        </is>
      </c>
      <c r="B142" s="26" t="inlineStr">
        <is>
          <t>원필 서브큐 리도 (R)</t>
        </is>
      </c>
      <c r="C142" s="24" t="n">
        <v>100</v>
      </c>
      <c r="D142" s="60" t="n">
        <v>45.5</v>
      </c>
      <c r="E142" s="24" t="n">
        <v>37</v>
      </c>
      <c r="F142" s="60" t="n">
        <v>32.5</v>
      </c>
      <c r="G142" s="60" t="n">
        <v>6.3</v>
      </c>
      <c r="H142" s="24" t="n">
        <v>1</v>
      </c>
      <c r="I142" s="25" t="inlineStr">
        <is>
          <t>Y</t>
        </is>
      </c>
      <c r="J142" s="26" t="inlineStr">
        <is>
          <t>완박스 정보.xlsx</t>
        </is>
      </c>
      <c r="K142" s="26" t="inlineStr">
        <is>
          <t>FBX038</t>
        </is>
      </c>
      <c r="L142" s="26" t="inlineStr">
        <is>
          <t>OWN_CARTON</t>
        </is>
      </c>
      <c r="M142" s="26" t="inlineStr">
        <is>
          <t>FULLBOX_CARTON</t>
        </is>
      </c>
      <c r="N142" s="25" t="inlineStr">
        <is>
          <t>N</t>
        </is>
      </c>
      <c r="O142" s="26" t="n"/>
      <c r="P142" s="26" t="inlineStr">
        <is>
          <t>REMAINDER_TO_REPACK</t>
        </is>
      </c>
      <c r="Q142" s="25" t="inlineStr">
        <is>
          <t>OK</t>
        </is>
      </c>
      <c r="R142" s="26" t="inlineStr">
        <is>
          <t>완박스를 표준박스로 매핑하지 않고 자체 출고 카톤으로 사용</t>
        </is>
      </c>
      <c r="S142" s="27" t="inlineStr">
        <is>
          <t>FBX038</t>
        </is>
      </c>
      <c r="T142" s="27" t="inlineStr">
        <is>
          <t>완박스 45.5x37x32.5</t>
        </is>
      </c>
      <c r="U142" s="27" t="inlineStr">
        <is>
          <t>Y</t>
        </is>
      </c>
      <c r="V142" s="27" t="inlineStr">
        <is>
          <t>FBG023</t>
        </is>
      </c>
    </row>
    <row r="143">
      <c r="A143" s="26" t="inlineStr">
        <is>
          <t>A200640</t>
        </is>
      </c>
      <c r="B143" s="26" t="inlineStr">
        <is>
          <t>원필 서브큐 리도 CE</t>
        </is>
      </c>
      <c r="C143" s="24" t="n">
        <v>100</v>
      </c>
      <c r="D143" s="24" t="n">
        <v>43</v>
      </c>
      <c r="E143" s="24" t="n">
        <v>37</v>
      </c>
      <c r="F143" s="24" t="n">
        <v>30</v>
      </c>
      <c r="G143" s="60" t="n">
        <v>5.6</v>
      </c>
      <c r="H143" s="24" t="n">
        <v>1</v>
      </c>
      <c r="I143" s="25" t="inlineStr">
        <is>
          <t>Y</t>
        </is>
      </c>
      <c r="J143" s="26" t="inlineStr">
        <is>
          <t>완박스 정보.xlsx</t>
        </is>
      </c>
      <c r="K143" s="26" t="inlineStr">
        <is>
          <t>FBX029</t>
        </is>
      </c>
      <c r="L143" s="26" t="inlineStr">
        <is>
          <t>OWN_CARTON</t>
        </is>
      </c>
      <c r="M143" s="26" t="inlineStr">
        <is>
          <t>FULLBOX_CARTON</t>
        </is>
      </c>
      <c r="N143" s="25" t="inlineStr">
        <is>
          <t>N</t>
        </is>
      </c>
      <c r="O143" s="26" t="n"/>
      <c r="P143" s="26" t="inlineStr">
        <is>
          <t>REMAINDER_TO_REPACK</t>
        </is>
      </c>
      <c r="Q143" s="25" t="inlineStr">
        <is>
          <t>OK</t>
        </is>
      </c>
      <c r="R143" s="26" t="inlineStr">
        <is>
          <t>완박스를 표준박스로 매핑하지 않고 자체 출고 카톤으로 사용</t>
        </is>
      </c>
      <c r="S143" s="27" t="inlineStr">
        <is>
          <t>FBX029</t>
        </is>
      </c>
      <c r="T143" s="27" t="inlineStr">
        <is>
          <t>완박스 43x37x30</t>
        </is>
      </c>
      <c r="U143" s="27" t="inlineStr">
        <is>
          <t>Y</t>
        </is>
      </c>
      <c r="V143" s="27" t="inlineStr">
        <is>
          <t>FBG013</t>
        </is>
      </c>
    </row>
    <row r="144" ht="30" customHeight="1" s="42">
      <c r="A144" s="26" t="inlineStr">
        <is>
          <t>A200662</t>
        </is>
      </c>
      <c r="B144" s="26" t="inlineStr">
        <is>
          <t>원필 울트라 리도 (R)</t>
        </is>
      </c>
      <c r="C144" s="24" t="n">
        <v>100</v>
      </c>
      <c r="D144" s="60" t="n">
        <v>45.5</v>
      </c>
      <c r="E144" s="24" t="n">
        <v>37</v>
      </c>
      <c r="F144" s="60" t="n">
        <v>32.5</v>
      </c>
      <c r="G144" s="60" t="n">
        <v>6.3</v>
      </c>
      <c r="H144" s="24" t="n">
        <v>1</v>
      </c>
      <c r="I144" s="25" t="inlineStr">
        <is>
          <t>Y</t>
        </is>
      </c>
      <c r="J144" s="26" t="inlineStr">
        <is>
          <t>완박스 정보.xlsx</t>
        </is>
      </c>
      <c r="K144" s="26" t="inlineStr">
        <is>
          <t>FBX038</t>
        </is>
      </c>
      <c r="L144" s="26" t="inlineStr">
        <is>
          <t>OWN_CARTON</t>
        </is>
      </c>
      <c r="M144" s="26" t="inlineStr">
        <is>
          <t>FULLBOX_CARTON</t>
        </is>
      </c>
      <c r="N144" s="25" t="inlineStr">
        <is>
          <t>N</t>
        </is>
      </c>
      <c r="O144" s="26" t="n"/>
      <c r="P144" s="26" t="inlineStr">
        <is>
          <t>REMAINDER_TO_REPACK</t>
        </is>
      </c>
      <c r="Q144" s="25" t="inlineStr">
        <is>
          <t>OK</t>
        </is>
      </c>
      <c r="R144" s="26" t="inlineStr">
        <is>
          <t>완박스를 표준박스로 매핑하지 않고 자체 출고 카톤으로 사용</t>
        </is>
      </c>
      <c r="S144" s="27" t="inlineStr">
        <is>
          <t>FBX038</t>
        </is>
      </c>
      <c r="T144" s="27" t="inlineStr">
        <is>
          <t>완박스 45.5x37x32.5</t>
        </is>
      </c>
      <c r="U144" s="27" t="inlineStr">
        <is>
          <t>Y</t>
        </is>
      </c>
      <c r="V144" s="27" t="inlineStr">
        <is>
          <t>FBG023</t>
        </is>
      </c>
    </row>
    <row r="145" ht="30" customHeight="1" s="42">
      <c r="A145" s="26" t="inlineStr">
        <is>
          <t>A200668</t>
        </is>
      </c>
      <c r="B145" s="26" t="inlineStr">
        <is>
          <t>원필 클래식 리도 (R)</t>
        </is>
      </c>
      <c r="C145" s="24" t="n">
        <v>100</v>
      </c>
      <c r="D145" s="60" t="n">
        <v>45.5</v>
      </c>
      <c r="E145" s="24" t="n">
        <v>37</v>
      </c>
      <c r="F145" s="60" t="n">
        <v>32.5</v>
      </c>
      <c r="G145" s="60" t="n">
        <v>6.3</v>
      </c>
      <c r="H145" s="24" t="n">
        <v>1</v>
      </c>
      <c r="I145" s="25" t="inlineStr">
        <is>
          <t>Y</t>
        </is>
      </c>
      <c r="J145" s="26" t="inlineStr">
        <is>
          <t>완박스 정보.xlsx</t>
        </is>
      </c>
      <c r="K145" s="26" t="inlineStr">
        <is>
          <t>FBX038</t>
        </is>
      </c>
      <c r="L145" s="26" t="inlineStr">
        <is>
          <t>OWN_CARTON</t>
        </is>
      </c>
      <c r="M145" s="26" t="inlineStr">
        <is>
          <t>FULLBOX_CARTON</t>
        </is>
      </c>
      <c r="N145" s="25" t="inlineStr">
        <is>
          <t>N</t>
        </is>
      </c>
      <c r="O145" s="26" t="n"/>
      <c r="P145" s="26" t="inlineStr">
        <is>
          <t>REMAINDER_TO_REPACK</t>
        </is>
      </c>
      <c r="Q145" s="25" t="inlineStr">
        <is>
          <t>OK</t>
        </is>
      </c>
      <c r="R145" s="26" t="inlineStr">
        <is>
          <t>완박스를 표준박스로 매핑하지 않고 자체 출고 카톤으로 사용</t>
        </is>
      </c>
      <c r="S145" s="27" t="inlineStr">
        <is>
          <t>FBX038</t>
        </is>
      </c>
      <c r="T145" s="27" t="inlineStr">
        <is>
          <t>완박스 45.5x37x32.5</t>
        </is>
      </c>
      <c r="U145" s="27" t="inlineStr">
        <is>
          <t>Y</t>
        </is>
      </c>
      <c r="V145" s="27" t="inlineStr">
        <is>
          <t>FBG023</t>
        </is>
      </c>
    </row>
    <row r="146">
      <c r="A146" s="26" t="inlineStr">
        <is>
          <t>A200660</t>
        </is>
      </c>
      <c r="B146" s="26" t="inlineStr">
        <is>
          <t>원필 클래식 리도 CE</t>
        </is>
      </c>
      <c r="C146" s="24" t="n">
        <v>100</v>
      </c>
      <c r="D146" s="24" t="n">
        <v>43</v>
      </c>
      <c r="E146" s="24" t="n">
        <v>37</v>
      </c>
      <c r="F146" s="24" t="n">
        <v>30</v>
      </c>
      <c r="G146" s="60" t="n">
        <v>5.6</v>
      </c>
      <c r="H146" s="24" t="n">
        <v>1</v>
      </c>
      <c r="I146" s="25" t="inlineStr">
        <is>
          <t>Y</t>
        </is>
      </c>
      <c r="J146" s="26" t="inlineStr">
        <is>
          <t>완박스 정보.xlsx</t>
        </is>
      </c>
      <c r="K146" s="26" t="inlineStr">
        <is>
          <t>FBX029</t>
        </is>
      </c>
      <c r="L146" s="26" t="inlineStr">
        <is>
          <t>OWN_CARTON</t>
        </is>
      </c>
      <c r="M146" s="26" t="inlineStr">
        <is>
          <t>FULLBOX_CARTON</t>
        </is>
      </c>
      <c r="N146" s="25" t="inlineStr">
        <is>
          <t>N</t>
        </is>
      </c>
      <c r="O146" s="26" t="n"/>
      <c r="P146" s="26" t="inlineStr">
        <is>
          <t>REMAINDER_TO_REPACK</t>
        </is>
      </c>
      <c r="Q146" s="25" t="inlineStr">
        <is>
          <t>OK</t>
        </is>
      </c>
      <c r="R146" s="26" t="inlineStr">
        <is>
          <t>완박스를 표준박스로 매핑하지 않고 자체 출고 카톤으로 사용</t>
        </is>
      </c>
      <c r="S146" s="27" t="inlineStr">
        <is>
          <t>FBX029</t>
        </is>
      </c>
      <c r="T146" s="27" t="inlineStr">
        <is>
          <t>완박스 43x37x30</t>
        </is>
      </c>
      <c r="U146" s="27" t="inlineStr">
        <is>
          <t>Y</t>
        </is>
      </c>
      <c r="V146" s="27" t="inlineStr">
        <is>
          <t>FBG013</t>
        </is>
      </c>
    </row>
    <row r="147">
      <c r="A147" s="26" t="inlineStr">
        <is>
          <t>B101120</t>
        </is>
      </c>
      <c r="B147" s="26" t="inlineStr">
        <is>
          <t>이노톡스100u</t>
        </is>
      </c>
      <c r="C147" s="24" t="n">
        <v>100</v>
      </c>
      <c r="D147" s="24" t="n">
        <v>34</v>
      </c>
      <c r="E147" s="24" t="n">
        <v>31</v>
      </c>
      <c r="F147" s="24" t="n">
        <v>16</v>
      </c>
      <c r="G147" s="60" t="n">
        <v>3.9</v>
      </c>
      <c r="H147" s="24" t="n">
        <v>1</v>
      </c>
      <c r="I147" s="25" t="inlineStr">
        <is>
          <t>Y</t>
        </is>
      </c>
      <c r="J147" s="26" t="inlineStr">
        <is>
          <t>완박스 정보.xlsx</t>
        </is>
      </c>
      <c r="K147" s="26" t="inlineStr">
        <is>
          <t>FBX004</t>
        </is>
      </c>
      <c r="L147" s="26" t="inlineStr">
        <is>
          <t>OWN_CARTON</t>
        </is>
      </c>
      <c r="M147" s="26" t="inlineStr">
        <is>
          <t>FULLBOX_CARTON</t>
        </is>
      </c>
      <c r="N147" s="25" t="inlineStr">
        <is>
          <t>N</t>
        </is>
      </c>
      <c r="O147" s="26" t="n"/>
      <c r="P147" s="26" t="inlineStr">
        <is>
          <t>REMAINDER_TO_REPACK</t>
        </is>
      </c>
      <c r="Q147" s="25" t="inlineStr">
        <is>
          <t>OK</t>
        </is>
      </c>
      <c r="R147" s="26" t="inlineStr">
        <is>
          <t>완박스를 표준박스로 매핑하지 않고 자체 출고 카톤으로 사용</t>
        </is>
      </c>
      <c r="S147" s="27" t="inlineStr">
        <is>
          <t>FBX004</t>
        </is>
      </c>
      <c r="T147" s="27" t="inlineStr">
        <is>
          <t>완박스 34x31x16</t>
        </is>
      </c>
      <c r="U147" s="27" t="inlineStr">
        <is>
          <t>Y</t>
        </is>
      </c>
      <c r="V147" s="27" t="inlineStr">
        <is>
          <t>FBG003</t>
        </is>
      </c>
    </row>
    <row r="148">
      <c r="A148" s="26" t="inlineStr">
        <is>
          <t>B101110</t>
        </is>
      </c>
      <c r="B148" s="26" t="inlineStr">
        <is>
          <t>이노톡스50u</t>
        </is>
      </c>
      <c r="C148" s="24" t="n">
        <v>50</v>
      </c>
      <c r="D148" s="24" t="n">
        <v>34</v>
      </c>
      <c r="E148" s="24" t="n">
        <v>31</v>
      </c>
      <c r="F148" s="24" t="n">
        <v>16</v>
      </c>
      <c r="G148" s="60" t="n">
        <v>3.9</v>
      </c>
      <c r="H148" s="24" t="n">
        <v>1</v>
      </c>
      <c r="I148" s="25" t="inlineStr">
        <is>
          <t>Y</t>
        </is>
      </c>
      <c r="J148" s="26" t="inlineStr">
        <is>
          <t>완박스 정보.xlsx</t>
        </is>
      </c>
      <c r="K148" s="26" t="inlineStr">
        <is>
          <t>FBX004</t>
        </is>
      </c>
      <c r="L148" s="26" t="inlineStr">
        <is>
          <t>OWN_CARTON</t>
        </is>
      </c>
      <c r="M148" s="26" t="inlineStr">
        <is>
          <t>FULLBOX_CARTON</t>
        </is>
      </c>
      <c r="N148" s="25" t="inlineStr">
        <is>
          <t>N</t>
        </is>
      </c>
      <c r="O148" s="26" t="n"/>
      <c r="P148" s="26" t="inlineStr">
        <is>
          <t>REMAINDER_TO_REPACK</t>
        </is>
      </c>
      <c r="Q148" s="25" t="inlineStr">
        <is>
          <t>OK</t>
        </is>
      </c>
      <c r="R148" s="26" t="inlineStr">
        <is>
          <t>완박스를 표준박스로 매핑하지 않고 자체 출고 카톤으로 사용</t>
        </is>
      </c>
      <c r="S148" s="27" t="inlineStr">
        <is>
          <t>FBX004</t>
        </is>
      </c>
      <c r="T148" s="27" t="inlineStr">
        <is>
          <t>완박스 34x31x16</t>
        </is>
      </c>
      <c r="U148" s="27" t="inlineStr">
        <is>
          <t>Y</t>
        </is>
      </c>
      <c r="V148" s="27" t="inlineStr">
        <is>
          <t>FBG003</t>
        </is>
      </c>
    </row>
    <row r="149">
      <c r="A149" s="26" t="inlineStr">
        <is>
          <t>B205120</t>
        </is>
      </c>
      <c r="B149" s="26" t="inlineStr">
        <is>
          <t>이브아르 볼륨</t>
        </is>
      </c>
      <c r="C149" s="24" t="n">
        <v>180</v>
      </c>
      <c r="D149" s="24" t="n">
        <v>51</v>
      </c>
      <c r="E149" s="24" t="n">
        <v>49</v>
      </c>
      <c r="F149" s="24" t="n">
        <v>40</v>
      </c>
      <c r="G149" s="60" t="n">
        <v>9.4</v>
      </c>
      <c r="H149" s="24" t="n">
        <v>1</v>
      </c>
      <c r="I149" s="25" t="inlineStr">
        <is>
          <t>Y</t>
        </is>
      </c>
      <c r="J149" s="26" t="inlineStr">
        <is>
          <t>완박스 정보.xlsx</t>
        </is>
      </c>
      <c r="K149" s="26" t="inlineStr">
        <is>
          <t>FBX064</t>
        </is>
      </c>
      <c r="L149" s="26" t="inlineStr">
        <is>
          <t>OWN_CARTON</t>
        </is>
      </c>
      <c r="M149" s="26" t="inlineStr">
        <is>
          <t>FULLBOX_CARTON</t>
        </is>
      </c>
      <c r="N149" s="25" t="inlineStr">
        <is>
          <t>N</t>
        </is>
      </c>
      <c r="O149" s="26" t="n"/>
      <c r="P149" s="26" t="inlineStr">
        <is>
          <t>REMAINDER_TO_REPACK</t>
        </is>
      </c>
      <c r="Q149" s="25" t="inlineStr">
        <is>
          <t>OK</t>
        </is>
      </c>
      <c r="R149" s="26" t="inlineStr">
        <is>
          <t>완박스를 표준박스로 매핑하지 않고 자체 출고 카톤으로 사용</t>
        </is>
      </c>
      <c r="S149" s="27" t="inlineStr">
        <is>
          <t>FBX064</t>
        </is>
      </c>
      <c r="T149" s="27" t="inlineStr">
        <is>
          <t>완박스 51x49x40</t>
        </is>
      </c>
      <c r="U149" s="27" t="inlineStr">
        <is>
          <t>Y</t>
        </is>
      </c>
      <c r="V149" s="27" t="inlineStr">
        <is>
          <t>FBG038</t>
        </is>
      </c>
    </row>
    <row r="150">
      <c r="A150" s="26" t="inlineStr">
        <is>
          <t>B205110</t>
        </is>
      </c>
      <c r="B150" s="26" t="inlineStr">
        <is>
          <t>이브아르 컨투어</t>
        </is>
      </c>
      <c r="C150" s="24" t="n">
        <v>180</v>
      </c>
      <c r="D150" s="24" t="n">
        <v>51</v>
      </c>
      <c r="E150" s="24" t="n">
        <v>49</v>
      </c>
      <c r="F150" s="24" t="n">
        <v>40</v>
      </c>
      <c r="G150" s="60" t="n">
        <v>9.4</v>
      </c>
      <c r="H150" s="24" t="n">
        <v>1</v>
      </c>
      <c r="I150" s="25" t="inlineStr">
        <is>
          <t>Y</t>
        </is>
      </c>
      <c r="J150" s="26" t="inlineStr">
        <is>
          <t>완박스 정보.xlsx</t>
        </is>
      </c>
      <c r="K150" s="26" t="inlineStr">
        <is>
          <t>FBX064</t>
        </is>
      </c>
      <c r="L150" s="26" t="inlineStr">
        <is>
          <t>OWN_CARTON</t>
        </is>
      </c>
      <c r="M150" s="26" t="inlineStr">
        <is>
          <t>FULLBOX_CARTON</t>
        </is>
      </c>
      <c r="N150" s="25" t="inlineStr">
        <is>
          <t>N</t>
        </is>
      </c>
      <c r="O150" s="26" t="n"/>
      <c r="P150" s="26" t="inlineStr">
        <is>
          <t>REMAINDER_TO_REPACK</t>
        </is>
      </c>
      <c r="Q150" s="25" t="inlineStr">
        <is>
          <t>OK</t>
        </is>
      </c>
      <c r="R150" s="26" t="inlineStr">
        <is>
          <t>완박스를 표준박스로 매핑하지 않고 자체 출고 카톤으로 사용</t>
        </is>
      </c>
      <c r="S150" s="27" t="inlineStr">
        <is>
          <t>FBX064</t>
        </is>
      </c>
      <c r="T150" s="27" t="inlineStr">
        <is>
          <t>완박스 51x49x40</t>
        </is>
      </c>
      <c r="U150" s="27" t="inlineStr">
        <is>
          <t>Y</t>
        </is>
      </c>
      <c r="V150" s="27" t="inlineStr">
        <is>
          <t>FBG038</t>
        </is>
      </c>
    </row>
    <row r="151">
      <c r="A151" s="26" t="inlineStr">
        <is>
          <t>B205130</t>
        </is>
      </c>
      <c r="B151" s="26" t="inlineStr">
        <is>
          <t>이브아르 클래식</t>
        </is>
      </c>
      <c r="C151" s="24" t="n">
        <v>180</v>
      </c>
      <c r="D151" s="24" t="n">
        <v>51</v>
      </c>
      <c r="E151" s="24" t="n">
        <v>49</v>
      </c>
      <c r="F151" s="24" t="n">
        <v>40</v>
      </c>
      <c r="G151" s="60" t="n">
        <v>9.4</v>
      </c>
      <c r="H151" s="24" t="n">
        <v>1</v>
      </c>
      <c r="I151" s="25" t="inlineStr">
        <is>
          <t>Y</t>
        </is>
      </c>
      <c r="J151" s="26" t="inlineStr">
        <is>
          <t>완박스 정보.xlsx</t>
        </is>
      </c>
      <c r="K151" s="26" t="inlineStr">
        <is>
          <t>FBX064</t>
        </is>
      </c>
      <c r="L151" s="26" t="inlineStr">
        <is>
          <t>OWN_CARTON</t>
        </is>
      </c>
      <c r="M151" s="26" t="inlineStr">
        <is>
          <t>FULLBOX_CARTON</t>
        </is>
      </c>
      <c r="N151" s="25" t="inlineStr">
        <is>
          <t>N</t>
        </is>
      </c>
      <c r="O151" s="26" t="n"/>
      <c r="P151" s="26" t="inlineStr">
        <is>
          <t>REMAINDER_TO_REPACK</t>
        </is>
      </c>
      <c r="Q151" s="25" t="inlineStr">
        <is>
          <t>OK</t>
        </is>
      </c>
      <c r="R151" s="26" t="inlineStr">
        <is>
          <t>완박스를 표준박스로 매핑하지 않고 자체 출고 카톤으로 사용</t>
        </is>
      </c>
      <c r="S151" s="27" t="inlineStr">
        <is>
          <t>FBX064</t>
        </is>
      </c>
      <c r="T151" s="27" t="inlineStr">
        <is>
          <t>완박스 51x49x40</t>
        </is>
      </c>
      <c r="U151" s="27" t="inlineStr">
        <is>
          <t>Y</t>
        </is>
      </c>
      <c r="V151" s="27" t="inlineStr">
        <is>
          <t>FBG038</t>
        </is>
      </c>
    </row>
    <row r="152">
      <c r="A152" s="26" t="inlineStr">
        <is>
          <t>A301220</t>
        </is>
      </c>
      <c r="B152" s="26" t="inlineStr">
        <is>
          <t>제이드 카인플러스크림</t>
        </is>
      </c>
      <c r="C152" s="24" t="n">
        <v>20</v>
      </c>
      <c r="D152" s="24" t="n">
        <v>55</v>
      </c>
      <c r="E152" s="24" t="n">
        <v>48</v>
      </c>
      <c r="F152" s="60" t="n">
        <v>15.5</v>
      </c>
      <c r="G152" s="60" t="n">
        <v>14.7</v>
      </c>
      <c r="H152" s="24" t="n">
        <v>1</v>
      </c>
      <c r="I152" s="25" t="inlineStr">
        <is>
          <t>Y</t>
        </is>
      </c>
      <c r="J152" s="26" t="inlineStr">
        <is>
          <t>완박스 정보.xlsx</t>
        </is>
      </c>
      <c r="K152" s="26" t="inlineStr">
        <is>
          <t>FBX073</t>
        </is>
      </c>
      <c r="L152" s="26" t="inlineStr">
        <is>
          <t>OWN_CARTON</t>
        </is>
      </c>
      <c r="M152" s="26" t="inlineStr">
        <is>
          <t>FULLBOX_CARTON</t>
        </is>
      </c>
      <c r="N152" s="25" t="inlineStr">
        <is>
          <t>N</t>
        </is>
      </c>
      <c r="O152" s="26" t="n"/>
      <c r="P152" s="26" t="inlineStr">
        <is>
          <t>REMAINDER_TO_REPACK</t>
        </is>
      </c>
      <c r="Q152" s="25" t="inlineStr">
        <is>
          <t>OK</t>
        </is>
      </c>
      <c r="R152" s="26" t="inlineStr">
        <is>
          <t>완박스를 표준박스로 매핑하지 않고 자체 출고 카톤으로 사용</t>
        </is>
      </c>
      <c r="S152" s="27" t="inlineStr">
        <is>
          <t>FBX073</t>
        </is>
      </c>
      <c r="T152" s="27" t="inlineStr">
        <is>
          <t>완박스 55x48x15.5</t>
        </is>
      </c>
      <c r="U152" s="27" t="inlineStr">
        <is>
          <t>Y</t>
        </is>
      </c>
      <c r="V152" s="27" t="inlineStr">
        <is>
          <t>FBG040</t>
        </is>
      </c>
    </row>
    <row r="153">
      <c r="A153" s="26" t="inlineStr">
        <is>
          <t>A301310</t>
        </is>
      </c>
      <c r="B153" s="26" t="inlineStr">
        <is>
          <t>제이드리포 바디</t>
        </is>
      </c>
      <c r="C153" s="24" t="n">
        <v>252</v>
      </c>
      <c r="D153" s="24" t="n">
        <v>48</v>
      </c>
      <c r="E153" s="24" t="n">
        <v>39</v>
      </c>
      <c r="F153" s="24" t="n">
        <v>34</v>
      </c>
      <c r="G153" s="60" t="n">
        <v>16.25</v>
      </c>
      <c r="H153" s="24" t="n">
        <v>1</v>
      </c>
      <c r="I153" s="25" t="inlineStr">
        <is>
          <t>Y</t>
        </is>
      </c>
      <c r="J153" s="26" t="inlineStr">
        <is>
          <t>완박스 정보.xlsx</t>
        </is>
      </c>
      <c r="K153" s="26" t="inlineStr">
        <is>
          <t>FBX054</t>
        </is>
      </c>
      <c r="L153" s="26" t="inlineStr">
        <is>
          <t>OWN_CARTON</t>
        </is>
      </c>
      <c r="M153" s="26" t="inlineStr">
        <is>
          <t>FULLBOX_CARTON</t>
        </is>
      </c>
      <c r="N153" s="25" t="inlineStr">
        <is>
          <t>N</t>
        </is>
      </c>
      <c r="O153" s="26" t="n"/>
      <c r="P153" s="26" t="inlineStr">
        <is>
          <t>REMAINDER_TO_REPACK</t>
        </is>
      </c>
      <c r="Q153" s="25" t="inlineStr">
        <is>
          <t>OK</t>
        </is>
      </c>
      <c r="R153" s="26" t="inlineStr">
        <is>
          <t>완박스를 표준박스로 매핑하지 않고 자체 출고 카톤으로 사용</t>
        </is>
      </c>
      <c r="S153" s="27" t="inlineStr">
        <is>
          <t>FBX054</t>
        </is>
      </c>
      <c r="T153" s="27" t="inlineStr">
        <is>
          <t>완박스 48x39x34</t>
        </is>
      </c>
      <c r="U153" s="27" t="inlineStr">
        <is>
          <t>Y</t>
        </is>
      </c>
      <c r="V153" s="27" t="inlineStr">
        <is>
          <t>FBG095</t>
        </is>
      </c>
    </row>
    <row r="154">
      <c r="A154" s="26" t="inlineStr">
        <is>
          <t>A301320</t>
        </is>
      </c>
      <c r="B154" s="26" t="inlineStr">
        <is>
          <t>제이드리포 페이스</t>
        </is>
      </c>
      <c r="C154" s="24" t="n">
        <v>438</v>
      </c>
      <c r="D154" s="60" t="n">
        <v>47.5</v>
      </c>
      <c r="E154" s="24" t="n">
        <v>38</v>
      </c>
      <c r="F154" s="24" t="n">
        <v>34</v>
      </c>
      <c r="G154" s="60" t="n">
        <v>16.2</v>
      </c>
      <c r="H154" s="24" t="n">
        <v>1</v>
      </c>
      <c r="I154" s="25" t="inlineStr">
        <is>
          <t>Y</t>
        </is>
      </c>
      <c r="J154" s="26" t="inlineStr">
        <is>
          <t>완박스 정보.xlsx</t>
        </is>
      </c>
      <c r="K154" s="26" t="inlineStr">
        <is>
          <t>FBX052</t>
        </is>
      </c>
      <c r="L154" s="26" t="inlineStr">
        <is>
          <t>OWN_CARTON</t>
        </is>
      </c>
      <c r="M154" s="26" t="inlineStr">
        <is>
          <t>FULLBOX_CARTON</t>
        </is>
      </c>
      <c r="N154" s="25" t="inlineStr">
        <is>
          <t>N</t>
        </is>
      </c>
      <c r="O154" s="26" t="n"/>
      <c r="P154" s="26" t="inlineStr">
        <is>
          <t>REMAINDER_TO_REPACK</t>
        </is>
      </c>
      <c r="Q154" s="25" t="inlineStr">
        <is>
          <t>OK</t>
        </is>
      </c>
      <c r="R154" s="26" t="inlineStr">
        <is>
          <t>완박스를 표준박스로 매핑하지 않고 자체 출고 카톤으로 사용</t>
        </is>
      </c>
      <c r="S154" s="27" t="inlineStr">
        <is>
          <t>FBX052</t>
        </is>
      </c>
      <c r="T154" s="27" t="inlineStr">
        <is>
          <t>완박스 47.5x38x34</t>
        </is>
      </c>
      <c r="U154" s="27" t="inlineStr">
        <is>
          <t>Y</t>
        </is>
      </c>
      <c r="V154" s="27" t="inlineStr">
        <is>
          <t>FBG095</t>
        </is>
      </c>
    </row>
    <row r="155">
      <c r="A155" s="26" t="inlineStr">
        <is>
          <t>B205640</t>
        </is>
      </c>
      <c r="B155" s="26" t="inlineStr">
        <is>
          <t>채움1</t>
        </is>
      </c>
      <c r="C155" s="24" t="n">
        <v>100</v>
      </c>
      <c r="D155" s="24" t="n">
        <v>55</v>
      </c>
      <c r="E155" s="24" t="n">
        <v>42</v>
      </c>
      <c r="F155" s="60" t="n">
        <v>40.5</v>
      </c>
      <c r="G155" s="60" t="n">
        <v>9.1</v>
      </c>
      <c r="H155" s="24" t="n">
        <v>1</v>
      </c>
      <c r="I155" s="25" t="inlineStr">
        <is>
          <t>Y</t>
        </is>
      </c>
      <c r="J155" s="26" t="inlineStr">
        <is>
          <t>완박스 정보.xlsx</t>
        </is>
      </c>
      <c r="K155" s="26" t="inlineStr">
        <is>
          <t>FBX072</t>
        </is>
      </c>
      <c r="L155" s="26" t="inlineStr">
        <is>
          <t>OWN_CARTON</t>
        </is>
      </c>
      <c r="M155" s="26" t="inlineStr">
        <is>
          <t>FULLBOX_CARTON</t>
        </is>
      </c>
      <c r="N155" s="25" t="inlineStr">
        <is>
          <t>N</t>
        </is>
      </c>
      <c r="O155" s="26" t="n"/>
      <c r="P155" s="26" t="inlineStr">
        <is>
          <t>REMAINDER_TO_REPACK</t>
        </is>
      </c>
      <c r="Q155" s="25" t="inlineStr">
        <is>
          <t>OK</t>
        </is>
      </c>
      <c r="R155" s="26" t="inlineStr">
        <is>
          <t>완박스를 표준박스로 매핑하지 않고 자체 출고 카톤으로 사용</t>
        </is>
      </c>
      <c r="S155" s="27" t="inlineStr">
        <is>
          <t>FBX072</t>
        </is>
      </c>
      <c r="T155" s="27" t="inlineStr">
        <is>
          <t>완박스 55x42x40.5</t>
        </is>
      </c>
      <c r="U155" s="27" t="inlineStr">
        <is>
          <t>Y</t>
        </is>
      </c>
      <c r="V155" s="27" t="inlineStr">
        <is>
          <t>FBG032</t>
        </is>
      </c>
    </row>
    <row r="156">
      <c r="A156" s="26" t="inlineStr">
        <is>
          <t>B205630</t>
        </is>
      </c>
      <c r="B156" s="26" t="inlineStr">
        <is>
          <t>채움2</t>
        </is>
      </c>
      <c r="C156" s="24" t="n">
        <v>100</v>
      </c>
      <c r="D156" s="24" t="n">
        <v>55</v>
      </c>
      <c r="E156" s="24" t="n">
        <v>42</v>
      </c>
      <c r="F156" s="60" t="n">
        <v>40.5</v>
      </c>
      <c r="G156" s="60" t="n">
        <v>9.1</v>
      </c>
      <c r="H156" s="24" t="n">
        <v>1</v>
      </c>
      <c r="I156" s="25" t="inlineStr">
        <is>
          <t>Y</t>
        </is>
      </c>
      <c r="J156" s="26" t="inlineStr">
        <is>
          <t>완박스 정보.xlsx</t>
        </is>
      </c>
      <c r="K156" s="26" t="inlineStr">
        <is>
          <t>FBX072</t>
        </is>
      </c>
      <c r="L156" s="26" t="inlineStr">
        <is>
          <t>OWN_CARTON</t>
        </is>
      </c>
      <c r="M156" s="26" t="inlineStr">
        <is>
          <t>FULLBOX_CARTON</t>
        </is>
      </c>
      <c r="N156" s="25" t="inlineStr">
        <is>
          <t>N</t>
        </is>
      </c>
      <c r="O156" s="26" t="n"/>
      <c r="P156" s="26" t="inlineStr">
        <is>
          <t>REMAINDER_TO_REPACK</t>
        </is>
      </c>
      <c r="Q156" s="25" t="inlineStr">
        <is>
          <t>OK</t>
        </is>
      </c>
      <c r="R156" s="26" t="inlineStr">
        <is>
          <t>완박스를 표준박스로 매핑하지 않고 자체 출고 카톤으로 사용</t>
        </is>
      </c>
      <c r="S156" s="27" t="inlineStr">
        <is>
          <t>FBX072</t>
        </is>
      </c>
      <c r="T156" s="27" t="inlineStr">
        <is>
          <t>완박스 55x42x40.5</t>
        </is>
      </c>
      <c r="U156" s="27" t="inlineStr">
        <is>
          <t>Y</t>
        </is>
      </c>
      <c r="V156" s="27" t="inlineStr">
        <is>
          <t>FBG032</t>
        </is>
      </c>
    </row>
    <row r="157">
      <c r="A157" s="26" t="inlineStr">
        <is>
          <t>B205620</t>
        </is>
      </c>
      <c r="B157" s="26" t="inlineStr">
        <is>
          <t>채움3</t>
        </is>
      </c>
      <c r="C157" s="24" t="n">
        <v>100</v>
      </c>
      <c r="D157" s="24" t="n">
        <v>55</v>
      </c>
      <c r="E157" s="24" t="n">
        <v>42</v>
      </c>
      <c r="F157" s="60" t="n">
        <v>40.5</v>
      </c>
      <c r="G157" s="60" t="n">
        <v>9.1</v>
      </c>
      <c r="H157" s="24" t="n">
        <v>1</v>
      </c>
      <c r="I157" s="25" t="inlineStr">
        <is>
          <t>Y</t>
        </is>
      </c>
      <c r="J157" s="26" t="inlineStr">
        <is>
          <t>완박스 정보.xlsx</t>
        </is>
      </c>
      <c r="K157" s="26" t="inlineStr">
        <is>
          <t>FBX072</t>
        </is>
      </c>
      <c r="L157" s="26" t="inlineStr">
        <is>
          <t>OWN_CARTON</t>
        </is>
      </c>
      <c r="M157" s="26" t="inlineStr">
        <is>
          <t>FULLBOX_CARTON</t>
        </is>
      </c>
      <c r="N157" s="25" t="inlineStr">
        <is>
          <t>N</t>
        </is>
      </c>
      <c r="O157" s="26" t="n"/>
      <c r="P157" s="26" t="inlineStr">
        <is>
          <t>REMAINDER_TO_REPACK</t>
        </is>
      </c>
      <c r="Q157" s="25" t="inlineStr">
        <is>
          <t>OK</t>
        </is>
      </c>
      <c r="R157" s="26" t="inlineStr">
        <is>
          <t>완박스를 표준박스로 매핑하지 않고 자체 출고 카톤으로 사용</t>
        </is>
      </c>
      <c r="S157" s="27" t="inlineStr">
        <is>
          <t>FBX072</t>
        </is>
      </c>
      <c r="T157" s="27" t="inlineStr">
        <is>
          <t>완박스 55x42x40.5</t>
        </is>
      </c>
      <c r="U157" s="27" t="inlineStr">
        <is>
          <t>Y</t>
        </is>
      </c>
      <c r="V157" s="27" t="inlineStr">
        <is>
          <t>FBG032</t>
        </is>
      </c>
    </row>
    <row r="158">
      <c r="A158" s="26" t="inlineStr">
        <is>
          <t>B205610</t>
        </is>
      </c>
      <c r="B158" s="26" t="inlineStr">
        <is>
          <t>채움4</t>
        </is>
      </c>
      <c r="C158" s="24" t="n">
        <v>100</v>
      </c>
      <c r="D158" s="24" t="n">
        <v>55</v>
      </c>
      <c r="E158" s="24" t="n">
        <v>42</v>
      </c>
      <c r="F158" s="60" t="n">
        <v>40.5</v>
      </c>
      <c r="G158" s="60" t="n">
        <v>9.1</v>
      </c>
      <c r="H158" s="24" t="n">
        <v>1</v>
      </c>
      <c r="I158" s="25" t="inlineStr">
        <is>
          <t>Y</t>
        </is>
      </c>
      <c r="J158" s="26" t="inlineStr">
        <is>
          <t>완박스 정보.xlsx</t>
        </is>
      </c>
      <c r="K158" s="26" t="inlineStr">
        <is>
          <t>FBX072</t>
        </is>
      </c>
      <c r="L158" s="26" t="inlineStr">
        <is>
          <t>OWN_CARTON</t>
        </is>
      </c>
      <c r="M158" s="26" t="inlineStr">
        <is>
          <t>FULLBOX_CARTON</t>
        </is>
      </c>
      <c r="N158" s="25" t="inlineStr">
        <is>
          <t>N</t>
        </is>
      </c>
      <c r="O158" s="26" t="n"/>
      <c r="P158" s="26" t="inlineStr">
        <is>
          <t>REMAINDER_TO_REPACK</t>
        </is>
      </c>
      <c r="Q158" s="25" t="inlineStr">
        <is>
          <t>OK</t>
        </is>
      </c>
      <c r="R158" s="26" t="inlineStr">
        <is>
          <t>완박스를 표준박스로 매핑하지 않고 자체 출고 카톤으로 사용</t>
        </is>
      </c>
      <c r="S158" s="27" t="inlineStr">
        <is>
          <t>FBX072</t>
        </is>
      </c>
      <c r="T158" s="27" t="inlineStr">
        <is>
          <t>완박스 55x42x40.5</t>
        </is>
      </c>
      <c r="U158" s="27" t="inlineStr">
        <is>
          <t>Y</t>
        </is>
      </c>
      <c r="V158" s="27" t="inlineStr">
        <is>
          <t>FBG032</t>
        </is>
      </c>
    </row>
    <row r="159" ht="30" customHeight="1" s="42">
      <c r="A159" s="26" t="inlineStr">
        <is>
          <t>B307710</t>
        </is>
      </c>
      <c r="B159" s="26" t="inlineStr">
        <is>
          <t>카벨라인</t>
        </is>
      </c>
      <c r="C159" s="24" t="n">
        <v>100</v>
      </c>
      <c r="D159" s="60" t="n">
        <v>43.5</v>
      </c>
      <c r="E159" s="60" t="n">
        <v>36.5</v>
      </c>
      <c r="F159" s="60" t="n">
        <v>30.5</v>
      </c>
      <c r="G159" s="60" t="n">
        <v>16.9</v>
      </c>
      <c r="H159" s="24" t="n">
        <v>1</v>
      </c>
      <c r="I159" s="25" t="inlineStr">
        <is>
          <t>Y</t>
        </is>
      </c>
      <c r="J159" s="26" t="inlineStr">
        <is>
          <t>완박스 정보.xlsx</t>
        </is>
      </c>
      <c r="K159" s="26" t="inlineStr">
        <is>
          <t>FBX031</t>
        </is>
      </c>
      <c r="L159" s="26" t="inlineStr">
        <is>
          <t>OWN_CARTON</t>
        </is>
      </c>
      <c r="M159" s="26" t="inlineStr">
        <is>
          <t>FULLBOX_CARTON</t>
        </is>
      </c>
      <c r="N159" s="25" t="inlineStr">
        <is>
          <t>N</t>
        </is>
      </c>
      <c r="O159" s="26" t="n"/>
      <c r="P159" s="26" t="inlineStr">
        <is>
          <t>REMAINDER_TO_REPACK</t>
        </is>
      </c>
      <c r="Q159" s="25" t="inlineStr">
        <is>
          <t>OK</t>
        </is>
      </c>
      <c r="R159" s="26" t="inlineStr">
        <is>
          <t>완박스를 표준박스로 매핑하지 않고 자체 출고 카톤으로 사용</t>
        </is>
      </c>
      <c r="S159" s="27" t="inlineStr">
        <is>
          <t>FBX031</t>
        </is>
      </c>
      <c r="T159" s="27" t="inlineStr">
        <is>
          <t>완박스 43.5x36.5x30.5</t>
        </is>
      </c>
      <c r="U159" s="27" t="inlineStr">
        <is>
          <t>Y</t>
        </is>
      </c>
      <c r="V159" s="27" t="inlineStr">
        <is>
          <t>FBG013</t>
        </is>
      </c>
    </row>
    <row r="160">
      <c r="A160" s="26" t="inlineStr">
        <is>
          <t>B101510</t>
        </is>
      </c>
      <c r="B160" s="26" t="inlineStr">
        <is>
          <t>코어톡스100u</t>
        </is>
      </c>
      <c r="C160" s="24" t="n">
        <v>100</v>
      </c>
      <c r="D160" s="24" t="n">
        <v>34</v>
      </c>
      <c r="E160" s="24" t="n">
        <v>31</v>
      </c>
      <c r="F160" s="24" t="n">
        <v>16</v>
      </c>
      <c r="G160" s="60" t="n">
        <v>3.6</v>
      </c>
      <c r="H160" s="24" t="n">
        <v>1</v>
      </c>
      <c r="I160" s="25" t="inlineStr">
        <is>
          <t>Y</t>
        </is>
      </c>
      <c r="J160" s="26" t="inlineStr">
        <is>
          <t>완박스 정보.xlsx</t>
        </is>
      </c>
      <c r="K160" s="26" t="inlineStr">
        <is>
          <t>FBX002</t>
        </is>
      </c>
      <c r="L160" s="26" t="inlineStr">
        <is>
          <t>OWN_CARTON</t>
        </is>
      </c>
      <c r="M160" s="26" t="inlineStr">
        <is>
          <t>FULLBOX_CARTON</t>
        </is>
      </c>
      <c r="N160" s="25" t="inlineStr">
        <is>
          <t>N</t>
        </is>
      </c>
      <c r="O160" s="26" t="n"/>
      <c r="P160" s="26" t="inlineStr">
        <is>
          <t>REMAINDER_TO_REPACK</t>
        </is>
      </c>
      <c r="Q160" s="25" t="inlineStr">
        <is>
          <t>OK</t>
        </is>
      </c>
      <c r="R160" s="26" t="inlineStr">
        <is>
          <t>완박스를 표준박스로 매핑하지 않고 자체 출고 카톤으로 사용</t>
        </is>
      </c>
      <c r="S160" s="27" t="inlineStr">
        <is>
          <t>FBX002</t>
        </is>
      </c>
      <c r="T160" s="27" t="inlineStr">
        <is>
          <t>완박스 34x31x16</t>
        </is>
      </c>
      <c r="U160" s="27" t="inlineStr">
        <is>
          <t>Y</t>
        </is>
      </c>
      <c r="V160" s="27" t="inlineStr">
        <is>
          <t>FBG003</t>
        </is>
      </c>
    </row>
    <row r="161">
      <c r="A161" s="26" t="inlineStr">
        <is>
          <t>A301400</t>
        </is>
      </c>
      <c r="B161" s="26" t="inlineStr">
        <is>
          <t>콜라원(BOX)</t>
        </is>
      </c>
      <c r="C161" s="24" t="n">
        <v>45</v>
      </c>
      <c r="D161" s="24" t="n">
        <v>45</v>
      </c>
      <c r="E161" s="24" t="n">
        <v>37</v>
      </c>
      <c r="F161" s="24" t="n">
        <v>32</v>
      </c>
      <c r="G161" s="60" t="n">
        <v>10.5</v>
      </c>
      <c r="H161" s="24" t="n">
        <v>1</v>
      </c>
      <c r="I161" s="25" t="inlineStr">
        <is>
          <t>Y</t>
        </is>
      </c>
      <c r="J161" s="26" t="inlineStr">
        <is>
          <t>완박스 정보.xlsx</t>
        </is>
      </c>
      <c r="K161" s="26" t="inlineStr">
        <is>
          <t>FBX037</t>
        </is>
      </c>
      <c r="L161" s="26" t="inlineStr">
        <is>
          <t>OWN_CARTON</t>
        </is>
      </c>
      <c r="M161" s="26" t="inlineStr">
        <is>
          <t>FULLBOX_CARTON</t>
        </is>
      </c>
      <c r="N161" s="25" t="inlineStr">
        <is>
          <t>N</t>
        </is>
      </c>
      <c r="O161" s="26" t="n"/>
      <c r="P161" s="26" t="inlineStr">
        <is>
          <t>REMAINDER_TO_REPACK</t>
        </is>
      </c>
      <c r="Q161" s="25" t="inlineStr">
        <is>
          <t>OK</t>
        </is>
      </c>
      <c r="R161" s="26" t="inlineStr">
        <is>
          <t>완박스를 표준박스로 매핑하지 않고 자체 출고 카톤으로 사용</t>
        </is>
      </c>
      <c r="S161" s="27" t="inlineStr">
        <is>
          <t>FBX037</t>
        </is>
      </c>
      <c r="T161" s="27" t="inlineStr">
        <is>
          <t>완박스 45x37x32</t>
        </is>
      </c>
      <c r="U161" s="27" t="inlineStr">
        <is>
          <t>Y</t>
        </is>
      </c>
      <c r="V161" s="27" t="inlineStr">
        <is>
          <t>FBG023</t>
        </is>
      </c>
    </row>
    <row r="162" ht="30" customHeight="1" s="42">
      <c r="A162" s="26" t="inlineStr">
        <is>
          <t>B307910</t>
        </is>
      </c>
      <c r="B162" s="26" t="inlineStr">
        <is>
          <t>키아라레쥬</t>
        </is>
      </c>
      <c r="C162" s="24" t="n">
        <v>50</v>
      </c>
      <c r="D162" s="24" t="n">
        <v>43</v>
      </c>
      <c r="E162" s="60" t="n">
        <v>41.5</v>
      </c>
      <c r="F162" s="60" t="n">
        <v>37.5</v>
      </c>
      <c r="G162" s="60" t="n">
        <v>7.55</v>
      </c>
      <c r="H162" s="24" t="n">
        <v>1</v>
      </c>
      <c r="I162" s="25" t="inlineStr">
        <is>
          <t>Y</t>
        </is>
      </c>
      <c r="J162" s="26" t="inlineStr">
        <is>
          <t>완박스 정보.xlsx</t>
        </is>
      </c>
      <c r="K162" s="26" t="inlineStr">
        <is>
          <t>FBX030</t>
        </is>
      </c>
      <c r="L162" s="26" t="inlineStr">
        <is>
          <t>OWN_CARTON</t>
        </is>
      </c>
      <c r="M162" s="26" t="inlineStr">
        <is>
          <t>FULLBOX_CARTON</t>
        </is>
      </c>
      <c r="N162" s="25" t="inlineStr">
        <is>
          <t>N</t>
        </is>
      </c>
      <c r="O162" s="26" t="n"/>
      <c r="P162" s="26" t="inlineStr">
        <is>
          <t>REMAINDER_TO_REPACK</t>
        </is>
      </c>
      <c r="Q162" s="25" t="inlineStr">
        <is>
          <t>OK</t>
        </is>
      </c>
      <c r="R162" s="26" t="inlineStr">
        <is>
          <t>완박스를 표준박스로 매핑하지 않고 자체 출고 카톤으로 사용</t>
        </is>
      </c>
      <c r="S162" s="27" t="inlineStr">
        <is>
          <t>FBX030</t>
        </is>
      </c>
      <c r="T162" s="27" t="inlineStr">
        <is>
          <t>완박스 43x41.5x37.5</t>
        </is>
      </c>
      <c r="U162" s="27" t="inlineStr">
        <is>
          <t>Y</t>
        </is>
      </c>
      <c r="V162" s="27" t="inlineStr">
        <is>
          <t>FBG076</t>
        </is>
      </c>
    </row>
    <row r="163">
      <c r="A163" s="26" t="inlineStr">
        <is>
          <t>B205920</t>
        </is>
      </c>
      <c r="B163" s="26" t="inlineStr">
        <is>
          <t>테소로 딥 노리도</t>
        </is>
      </c>
      <c r="C163" s="24" t="n">
        <v>100</v>
      </c>
      <c r="D163" s="24" t="n">
        <v>41</v>
      </c>
      <c r="E163" s="24" t="n">
        <v>31</v>
      </c>
      <c r="F163" s="24" t="n">
        <v>40</v>
      </c>
      <c r="G163" s="60" t="n">
        <v>5.7</v>
      </c>
      <c r="H163" s="24" t="n">
        <v>1</v>
      </c>
      <c r="I163" s="25" t="inlineStr">
        <is>
          <t>Y</t>
        </is>
      </c>
      <c r="J163" s="26" t="inlineStr">
        <is>
          <t>완박스 정보.xlsx</t>
        </is>
      </c>
      <c r="K163" s="26" t="inlineStr">
        <is>
          <t>FBX018</t>
        </is>
      </c>
      <c r="L163" s="26" t="inlineStr">
        <is>
          <t>OWN_CARTON</t>
        </is>
      </c>
      <c r="M163" s="26" t="inlineStr">
        <is>
          <t>FULLBOX_CARTON</t>
        </is>
      </c>
      <c r="N163" s="25" t="inlineStr">
        <is>
          <t>N</t>
        </is>
      </c>
      <c r="O163" s="26" t="n"/>
      <c r="P163" s="26" t="inlineStr">
        <is>
          <t>REMAINDER_TO_REPACK</t>
        </is>
      </c>
      <c r="Q163" s="25" t="inlineStr">
        <is>
          <t>OK</t>
        </is>
      </c>
      <c r="R163" s="26" t="inlineStr">
        <is>
          <t>완박스를 표준박스로 매핑하지 않고 자체 출고 카톤으로 사용</t>
        </is>
      </c>
      <c r="S163" s="27" t="inlineStr">
        <is>
          <t>FBX018</t>
        </is>
      </c>
      <c r="T163" s="27" t="inlineStr">
        <is>
          <t>완박스 41x31x40</t>
        </is>
      </c>
      <c r="U163" s="27" t="inlineStr">
        <is>
          <t>Y</t>
        </is>
      </c>
      <c r="V163" s="27" t="inlineStr">
        <is>
          <t>FBG009</t>
        </is>
      </c>
    </row>
    <row r="164">
      <c r="A164" s="26" t="inlineStr">
        <is>
          <t>B205830</t>
        </is>
      </c>
      <c r="B164" s="26" t="inlineStr">
        <is>
          <t>테소로 딥 리도</t>
        </is>
      </c>
      <c r="C164" s="24" t="n">
        <v>100</v>
      </c>
      <c r="D164" s="24" t="n">
        <v>41</v>
      </c>
      <c r="E164" s="24" t="n">
        <v>31</v>
      </c>
      <c r="F164" s="24" t="n">
        <v>40</v>
      </c>
      <c r="G164" s="60" t="n">
        <v>5.7</v>
      </c>
      <c r="H164" s="24" t="n">
        <v>1</v>
      </c>
      <c r="I164" s="25" t="inlineStr">
        <is>
          <t>Y</t>
        </is>
      </c>
      <c r="J164" s="26" t="inlineStr">
        <is>
          <t>완박스 정보.xlsx</t>
        </is>
      </c>
      <c r="K164" s="26" t="inlineStr">
        <is>
          <t>FBX018</t>
        </is>
      </c>
      <c r="L164" s="26" t="inlineStr">
        <is>
          <t>OWN_CARTON</t>
        </is>
      </c>
      <c r="M164" s="26" t="inlineStr">
        <is>
          <t>FULLBOX_CARTON</t>
        </is>
      </c>
      <c r="N164" s="25" t="inlineStr">
        <is>
          <t>N</t>
        </is>
      </c>
      <c r="O164" s="26" t="n"/>
      <c r="P164" s="26" t="inlineStr">
        <is>
          <t>REMAINDER_TO_REPACK</t>
        </is>
      </c>
      <c r="Q164" s="25" t="inlineStr">
        <is>
          <t>OK</t>
        </is>
      </c>
      <c r="R164" s="26" t="inlineStr">
        <is>
          <t>완박스를 표준박스로 매핑하지 않고 자체 출고 카톤으로 사용</t>
        </is>
      </c>
      <c r="S164" s="27" t="inlineStr">
        <is>
          <t>FBX018</t>
        </is>
      </c>
      <c r="T164" s="27" t="inlineStr">
        <is>
          <t>완박스 41x31x40</t>
        </is>
      </c>
      <c r="U164" s="27" t="inlineStr">
        <is>
          <t>Y</t>
        </is>
      </c>
      <c r="V164" s="27" t="inlineStr">
        <is>
          <t>FBG009</t>
        </is>
      </c>
    </row>
    <row r="165">
      <c r="A165" s="26" t="inlineStr">
        <is>
          <t>B205910</t>
        </is>
      </c>
      <c r="B165" s="26" t="inlineStr">
        <is>
          <t>테소로 서브큐 노리도</t>
        </is>
      </c>
      <c r="C165" s="24" t="n">
        <v>100</v>
      </c>
      <c r="D165" s="24" t="n">
        <v>41</v>
      </c>
      <c r="E165" s="24" t="n">
        <v>31</v>
      </c>
      <c r="F165" s="24" t="n">
        <v>40</v>
      </c>
      <c r="G165" s="60" t="n">
        <v>5.7</v>
      </c>
      <c r="H165" s="24" t="n">
        <v>1</v>
      </c>
      <c r="I165" s="25" t="inlineStr">
        <is>
          <t>Y</t>
        </is>
      </c>
      <c r="J165" s="26" t="inlineStr">
        <is>
          <t>완박스 정보.xlsx</t>
        </is>
      </c>
      <c r="K165" s="26" t="inlineStr">
        <is>
          <t>FBX018</t>
        </is>
      </c>
      <c r="L165" s="26" t="inlineStr">
        <is>
          <t>OWN_CARTON</t>
        </is>
      </c>
      <c r="M165" s="26" t="inlineStr">
        <is>
          <t>FULLBOX_CARTON</t>
        </is>
      </c>
      <c r="N165" s="25" t="inlineStr">
        <is>
          <t>N</t>
        </is>
      </c>
      <c r="O165" s="26" t="n"/>
      <c r="P165" s="26" t="inlineStr">
        <is>
          <t>REMAINDER_TO_REPACK</t>
        </is>
      </c>
      <c r="Q165" s="25" t="inlineStr">
        <is>
          <t>OK</t>
        </is>
      </c>
      <c r="R165" s="26" t="inlineStr">
        <is>
          <t>완박스를 표준박스로 매핑하지 않고 자체 출고 카톤으로 사용</t>
        </is>
      </c>
      <c r="S165" s="27" t="inlineStr">
        <is>
          <t>FBX018</t>
        </is>
      </c>
      <c r="T165" s="27" t="inlineStr">
        <is>
          <t>완박스 41x31x40</t>
        </is>
      </c>
      <c r="U165" s="27" t="inlineStr">
        <is>
          <t>Y</t>
        </is>
      </c>
      <c r="V165" s="27" t="inlineStr">
        <is>
          <t>FBG009</t>
        </is>
      </c>
    </row>
    <row r="166">
      <c r="A166" s="26" t="inlineStr">
        <is>
          <t>B205820</t>
        </is>
      </c>
      <c r="B166" s="26" t="inlineStr">
        <is>
          <t>테소로 서브큐 리도</t>
        </is>
      </c>
      <c r="C166" s="24" t="n">
        <v>100</v>
      </c>
      <c r="D166" s="24" t="n">
        <v>41</v>
      </c>
      <c r="E166" s="24" t="n">
        <v>31</v>
      </c>
      <c r="F166" s="24" t="n">
        <v>40</v>
      </c>
      <c r="G166" s="60" t="n">
        <v>5.7</v>
      </c>
      <c r="H166" s="24" t="n">
        <v>1</v>
      </c>
      <c r="I166" s="25" t="inlineStr">
        <is>
          <t>Y</t>
        </is>
      </c>
      <c r="J166" s="26" t="inlineStr">
        <is>
          <t>완박스 정보.xlsx</t>
        </is>
      </c>
      <c r="K166" s="26" t="inlineStr">
        <is>
          <t>FBX018</t>
        </is>
      </c>
      <c r="L166" s="26" t="inlineStr">
        <is>
          <t>OWN_CARTON</t>
        </is>
      </c>
      <c r="M166" s="26" t="inlineStr">
        <is>
          <t>FULLBOX_CARTON</t>
        </is>
      </c>
      <c r="N166" s="25" t="inlineStr">
        <is>
          <t>N</t>
        </is>
      </c>
      <c r="O166" s="26" t="n"/>
      <c r="P166" s="26" t="inlineStr">
        <is>
          <t>REMAINDER_TO_REPACK</t>
        </is>
      </c>
      <c r="Q166" s="25" t="inlineStr">
        <is>
          <t>OK</t>
        </is>
      </c>
      <c r="R166" s="26" t="inlineStr">
        <is>
          <t>완박스를 표준박스로 매핑하지 않고 자체 출고 카톤으로 사용</t>
        </is>
      </c>
      <c r="S166" s="27" t="inlineStr">
        <is>
          <t>FBX018</t>
        </is>
      </c>
      <c r="T166" s="27" t="inlineStr">
        <is>
          <t>완박스 41x31x40</t>
        </is>
      </c>
      <c r="U166" s="27" t="inlineStr">
        <is>
          <t>Y</t>
        </is>
      </c>
      <c r="V166" s="27" t="inlineStr">
        <is>
          <t>FBG009</t>
        </is>
      </c>
    </row>
    <row r="167">
      <c r="A167" s="26" t="inlineStr">
        <is>
          <t>B205930</t>
        </is>
      </c>
      <c r="B167" s="26" t="inlineStr">
        <is>
          <t>테소로 파인 노리도</t>
        </is>
      </c>
      <c r="C167" s="24" t="n">
        <v>100</v>
      </c>
      <c r="D167" s="24" t="n">
        <v>41</v>
      </c>
      <c r="E167" s="24" t="n">
        <v>31</v>
      </c>
      <c r="F167" s="24" t="n">
        <v>40</v>
      </c>
      <c r="G167" s="60" t="n">
        <v>5.7</v>
      </c>
      <c r="H167" s="24" t="n">
        <v>1</v>
      </c>
      <c r="I167" s="25" t="inlineStr">
        <is>
          <t>Y</t>
        </is>
      </c>
      <c r="J167" s="26" t="inlineStr">
        <is>
          <t>완박스 정보.xlsx</t>
        </is>
      </c>
      <c r="K167" s="26" t="inlineStr">
        <is>
          <t>FBX018</t>
        </is>
      </c>
      <c r="L167" s="26" t="inlineStr">
        <is>
          <t>OWN_CARTON</t>
        </is>
      </c>
      <c r="M167" s="26" t="inlineStr">
        <is>
          <t>FULLBOX_CARTON</t>
        </is>
      </c>
      <c r="N167" s="25" t="inlineStr">
        <is>
          <t>N</t>
        </is>
      </c>
      <c r="O167" s="26" t="n"/>
      <c r="P167" s="26" t="inlineStr">
        <is>
          <t>REMAINDER_TO_REPACK</t>
        </is>
      </c>
      <c r="Q167" s="25" t="inlineStr">
        <is>
          <t>OK</t>
        </is>
      </c>
      <c r="R167" s="26" t="inlineStr">
        <is>
          <t>완박스를 표준박스로 매핑하지 않고 자체 출고 카톤으로 사용</t>
        </is>
      </c>
      <c r="S167" s="27" t="inlineStr">
        <is>
          <t>FBX018</t>
        </is>
      </c>
      <c r="T167" s="27" t="inlineStr">
        <is>
          <t>완박스 41x31x40</t>
        </is>
      </c>
      <c r="U167" s="27" t="inlineStr">
        <is>
          <t>Y</t>
        </is>
      </c>
      <c r="V167" s="27" t="inlineStr">
        <is>
          <t>FBG009</t>
        </is>
      </c>
    </row>
    <row r="168">
      <c r="A168" s="26" t="inlineStr">
        <is>
          <t>B205840</t>
        </is>
      </c>
      <c r="B168" s="26" t="inlineStr">
        <is>
          <t>테소로 파인 리도</t>
        </is>
      </c>
      <c r="C168" s="24" t="n">
        <v>100</v>
      </c>
      <c r="D168" s="24" t="n">
        <v>41</v>
      </c>
      <c r="E168" s="24" t="n">
        <v>31</v>
      </c>
      <c r="F168" s="24" t="n">
        <v>40</v>
      </c>
      <c r="G168" s="60" t="n">
        <v>5.7</v>
      </c>
      <c r="H168" s="24" t="n">
        <v>1</v>
      </c>
      <c r="I168" s="25" t="inlineStr">
        <is>
          <t>Y</t>
        </is>
      </c>
      <c r="J168" s="26" t="inlineStr">
        <is>
          <t>완박스 정보.xlsx</t>
        </is>
      </c>
      <c r="K168" s="26" t="inlineStr">
        <is>
          <t>FBX018</t>
        </is>
      </c>
      <c r="L168" s="26" t="inlineStr">
        <is>
          <t>OWN_CARTON</t>
        </is>
      </c>
      <c r="M168" s="26" t="inlineStr">
        <is>
          <t>FULLBOX_CARTON</t>
        </is>
      </c>
      <c r="N168" s="25" t="inlineStr">
        <is>
          <t>N</t>
        </is>
      </c>
      <c r="O168" s="26" t="n"/>
      <c r="P168" s="26" t="inlineStr">
        <is>
          <t>REMAINDER_TO_REPACK</t>
        </is>
      </c>
      <c r="Q168" s="25" t="inlineStr">
        <is>
          <t>OK</t>
        </is>
      </c>
      <c r="R168" s="26" t="inlineStr">
        <is>
          <t>완박스를 표준박스로 매핑하지 않고 자체 출고 카톤으로 사용</t>
        </is>
      </c>
      <c r="S168" s="27" t="inlineStr">
        <is>
          <t>FBX018</t>
        </is>
      </c>
      <c r="T168" s="27" t="inlineStr">
        <is>
          <t>완박스 41x31x40</t>
        </is>
      </c>
      <c r="U168" s="27" t="inlineStr">
        <is>
          <t>Y</t>
        </is>
      </c>
      <c r="V168" s="27" t="inlineStr">
        <is>
          <t>FBG009</t>
        </is>
      </c>
    </row>
    <row r="169">
      <c r="A169" s="26" t="inlineStr">
        <is>
          <t>A200680</t>
        </is>
      </c>
      <c r="B169" s="26" t="inlineStr">
        <is>
          <t>테오필 딥 리도</t>
        </is>
      </c>
      <c r="C169" s="24" t="n">
        <v>100</v>
      </c>
      <c r="D169" s="24" t="n">
        <v>41</v>
      </c>
      <c r="E169" s="24" t="n">
        <v>31</v>
      </c>
      <c r="F169" s="24" t="n">
        <v>40</v>
      </c>
      <c r="G169" s="60" t="n">
        <v>5.7</v>
      </c>
      <c r="H169" s="24" t="n">
        <v>1</v>
      </c>
      <c r="I169" s="25" t="inlineStr">
        <is>
          <t>Y</t>
        </is>
      </c>
      <c r="J169" s="26" t="inlineStr">
        <is>
          <t>완박스 정보.xlsx</t>
        </is>
      </c>
      <c r="K169" s="26" t="inlineStr">
        <is>
          <t>FBX018</t>
        </is>
      </c>
      <c r="L169" s="26" t="inlineStr">
        <is>
          <t>OWN_CARTON</t>
        </is>
      </c>
      <c r="M169" s="26" t="inlineStr">
        <is>
          <t>FULLBOX_CARTON</t>
        </is>
      </c>
      <c r="N169" s="25" t="inlineStr">
        <is>
          <t>N</t>
        </is>
      </c>
      <c r="O169" s="26" t="n"/>
      <c r="P169" s="26" t="inlineStr">
        <is>
          <t>REMAINDER_TO_REPACK</t>
        </is>
      </c>
      <c r="Q169" s="25" t="inlineStr">
        <is>
          <t>OK</t>
        </is>
      </c>
      <c r="R169" s="26" t="inlineStr">
        <is>
          <t>완박스를 표준박스로 매핑하지 않고 자체 출고 카톤으로 사용</t>
        </is>
      </c>
      <c r="S169" s="27" t="inlineStr">
        <is>
          <t>FBX018</t>
        </is>
      </c>
      <c r="T169" s="27" t="inlineStr">
        <is>
          <t>완박스 41x31x40</t>
        </is>
      </c>
      <c r="U169" s="27" t="inlineStr">
        <is>
          <t>Y</t>
        </is>
      </c>
      <c r="V169" s="27" t="inlineStr">
        <is>
          <t>FBG009</t>
        </is>
      </c>
    </row>
    <row r="170">
      <c r="A170" s="26" t="inlineStr">
        <is>
          <t>A200670</t>
        </is>
      </c>
      <c r="B170" s="26" t="inlineStr">
        <is>
          <t>테오필 서브큐 리도</t>
        </is>
      </c>
      <c r="C170" s="24" t="n">
        <v>100</v>
      </c>
      <c r="D170" s="24" t="n">
        <v>41</v>
      </c>
      <c r="E170" s="24" t="n">
        <v>31</v>
      </c>
      <c r="F170" s="24" t="n">
        <v>40</v>
      </c>
      <c r="G170" s="60" t="n">
        <v>5.7</v>
      </c>
      <c r="H170" s="24" t="n">
        <v>1</v>
      </c>
      <c r="I170" s="25" t="inlineStr">
        <is>
          <t>Y</t>
        </is>
      </c>
      <c r="J170" s="26" t="inlineStr">
        <is>
          <t>완박스 정보.xlsx</t>
        </is>
      </c>
      <c r="K170" s="26" t="inlineStr">
        <is>
          <t>FBX018</t>
        </is>
      </c>
      <c r="L170" s="26" t="inlineStr">
        <is>
          <t>OWN_CARTON</t>
        </is>
      </c>
      <c r="M170" s="26" t="inlineStr">
        <is>
          <t>FULLBOX_CARTON</t>
        </is>
      </c>
      <c r="N170" s="25" t="inlineStr">
        <is>
          <t>N</t>
        </is>
      </c>
      <c r="O170" s="26" t="n"/>
      <c r="P170" s="26" t="inlineStr">
        <is>
          <t>REMAINDER_TO_REPACK</t>
        </is>
      </c>
      <c r="Q170" s="25" t="inlineStr">
        <is>
          <t>OK</t>
        </is>
      </c>
      <c r="R170" s="26" t="inlineStr">
        <is>
          <t>완박스를 표준박스로 매핑하지 않고 자체 출고 카톤으로 사용</t>
        </is>
      </c>
      <c r="S170" s="27" t="inlineStr">
        <is>
          <t>FBX018</t>
        </is>
      </c>
      <c r="T170" s="27" t="inlineStr">
        <is>
          <t>완박스 41x31x40</t>
        </is>
      </c>
      <c r="U170" s="27" t="inlineStr">
        <is>
          <t>Y</t>
        </is>
      </c>
      <c r="V170" s="27" t="inlineStr">
        <is>
          <t>FBG009</t>
        </is>
      </c>
    </row>
    <row r="171">
      <c r="A171" s="26" t="inlineStr">
        <is>
          <t>A200700</t>
        </is>
      </c>
      <c r="B171" s="26" t="inlineStr">
        <is>
          <t>테오필 아이즈</t>
        </is>
      </c>
      <c r="C171" s="24" t="n">
        <v>100</v>
      </c>
      <c r="D171" s="24" t="n">
        <v>46</v>
      </c>
      <c r="E171" s="24" t="n">
        <v>37</v>
      </c>
      <c r="F171" s="24" t="n">
        <v>32</v>
      </c>
      <c r="G171" s="60" t="n">
        <v>5.8</v>
      </c>
      <c r="H171" s="24" t="n">
        <v>1</v>
      </c>
      <c r="I171" s="25" t="inlineStr">
        <is>
          <t>Y</t>
        </is>
      </c>
      <c r="J171" s="26" t="inlineStr">
        <is>
          <t>완박스 정보.xlsx</t>
        </is>
      </c>
      <c r="K171" s="26" t="inlineStr">
        <is>
          <t>FBX041</t>
        </is>
      </c>
      <c r="L171" s="26" t="inlineStr">
        <is>
          <t>OWN_CARTON</t>
        </is>
      </c>
      <c r="M171" s="26" t="inlineStr">
        <is>
          <t>FULLBOX_CARTON</t>
        </is>
      </c>
      <c r="N171" s="25" t="inlineStr">
        <is>
          <t>N</t>
        </is>
      </c>
      <c r="O171" s="26" t="n"/>
      <c r="P171" s="26" t="inlineStr">
        <is>
          <t>REMAINDER_TO_REPACK</t>
        </is>
      </c>
      <c r="Q171" s="25" t="inlineStr">
        <is>
          <t>OK</t>
        </is>
      </c>
      <c r="R171" s="26" t="inlineStr">
        <is>
          <t>완박스를 표준박스로 매핑하지 않고 자체 출고 카톤으로 사용</t>
        </is>
      </c>
      <c r="S171" s="27" t="inlineStr">
        <is>
          <t>FBX041</t>
        </is>
      </c>
      <c r="T171" s="27" t="inlineStr">
        <is>
          <t>완박스 46x37x32</t>
        </is>
      </c>
      <c r="U171" s="27" t="inlineStr">
        <is>
          <t>Y</t>
        </is>
      </c>
      <c r="V171" s="27" t="inlineStr">
        <is>
          <t>FBG023</t>
        </is>
      </c>
    </row>
    <row r="172">
      <c r="A172" s="26" t="inlineStr">
        <is>
          <t>A200690</t>
        </is>
      </c>
      <c r="B172" s="26" t="inlineStr">
        <is>
          <t>테오필 클래식 리도</t>
        </is>
      </c>
      <c r="C172" s="24" t="n">
        <v>100</v>
      </c>
      <c r="D172" s="24" t="n">
        <v>43</v>
      </c>
      <c r="E172" s="24" t="n">
        <v>37</v>
      </c>
      <c r="F172" s="24" t="n">
        <v>29</v>
      </c>
      <c r="G172" s="60" t="n">
        <v>5.6</v>
      </c>
      <c r="H172" s="24" t="n">
        <v>1</v>
      </c>
      <c r="I172" s="25" t="inlineStr">
        <is>
          <t>Y</t>
        </is>
      </c>
      <c r="J172" s="26" t="inlineStr">
        <is>
          <t>완박스 정보.xlsx</t>
        </is>
      </c>
      <c r="K172" s="26" t="inlineStr">
        <is>
          <t>FBX027</t>
        </is>
      </c>
      <c r="L172" s="26" t="inlineStr">
        <is>
          <t>OWN_CARTON</t>
        </is>
      </c>
      <c r="M172" s="26" t="inlineStr">
        <is>
          <t>FULLBOX_CARTON</t>
        </is>
      </c>
      <c r="N172" s="25" t="inlineStr">
        <is>
          <t>N</t>
        </is>
      </c>
      <c r="O172" s="26" t="n"/>
      <c r="P172" s="26" t="inlineStr">
        <is>
          <t>REMAINDER_TO_REPACK</t>
        </is>
      </c>
      <c r="Q172" s="25" t="inlineStr">
        <is>
          <t>OK</t>
        </is>
      </c>
      <c r="R172" s="26" t="inlineStr">
        <is>
          <t>완박스를 표준박스로 매핑하지 않고 자체 출고 카톤으로 사용</t>
        </is>
      </c>
      <c r="S172" s="27" t="inlineStr">
        <is>
          <t>FBX027</t>
        </is>
      </c>
      <c r="T172" s="27" t="inlineStr">
        <is>
          <t>완박스 43x37x29</t>
        </is>
      </c>
      <c r="U172" s="27" t="inlineStr">
        <is>
          <t>Y</t>
        </is>
      </c>
      <c r="V172" s="27" t="inlineStr">
        <is>
          <t>FBG013</t>
        </is>
      </c>
    </row>
    <row r="173">
      <c r="A173" s="26" t="inlineStr">
        <is>
          <t>A200705</t>
        </is>
      </c>
      <c r="B173" s="26" t="inlineStr">
        <is>
          <t>테오필 페이스</t>
        </is>
      </c>
      <c r="C173" s="24" t="n">
        <v>100</v>
      </c>
      <c r="D173" s="24" t="n">
        <v>43</v>
      </c>
      <c r="E173" s="24" t="n">
        <v>37</v>
      </c>
      <c r="F173" s="24" t="n">
        <v>29</v>
      </c>
      <c r="G173" s="60" t="n">
        <v>5.6</v>
      </c>
      <c r="H173" s="24" t="n">
        <v>1</v>
      </c>
      <c r="I173" s="25" t="inlineStr">
        <is>
          <t>Y</t>
        </is>
      </c>
      <c r="J173" s="26" t="inlineStr">
        <is>
          <t>완박스 정보.xlsx</t>
        </is>
      </c>
      <c r="K173" s="26" t="inlineStr">
        <is>
          <t>FBX027</t>
        </is>
      </c>
      <c r="L173" s="26" t="inlineStr">
        <is>
          <t>OWN_CARTON</t>
        </is>
      </c>
      <c r="M173" s="26" t="inlineStr">
        <is>
          <t>FULLBOX_CARTON</t>
        </is>
      </c>
      <c r="N173" s="25" t="inlineStr">
        <is>
          <t>N</t>
        </is>
      </c>
      <c r="O173" s="26" t="n"/>
      <c r="P173" s="26" t="inlineStr">
        <is>
          <t>REMAINDER_TO_REPACK</t>
        </is>
      </c>
      <c r="Q173" s="25" t="inlineStr">
        <is>
          <t>OK</t>
        </is>
      </c>
      <c r="R173" s="26" t="inlineStr">
        <is>
          <t>완박스를 표준박스로 매핑하지 않고 자체 출고 카톤으로 사용</t>
        </is>
      </c>
      <c r="S173" s="27" t="inlineStr">
        <is>
          <t>FBX027</t>
        </is>
      </c>
      <c r="T173" s="27" t="inlineStr">
        <is>
          <t>완박스 43x37x29</t>
        </is>
      </c>
      <c r="U173" s="27" t="inlineStr">
        <is>
          <t>Y</t>
        </is>
      </c>
      <c r="V173" s="27" t="inlineStr">
        <is>
          <t>FBG013</t>
        </is>
      </c>
    </row>
    <row r="174" ht="30" customHeight="1" s="42">
      <c r="A174" s="26" t="inlineStr">
        <is>
          <t>B206620</t>
        </is>
      </c>
      <c r="B174" s="26" t="inlineStr">
        <is>
          <t>하이알듀 미드 노리도 (수출용)</t>
        </is>
      </c>
      <c r="C174" s="24" t="n">
        <v>50</v>
      </c>
      <c r="D174" s="60" t="n">
        <v>41.5</v>
      </c>
      <c r="E174" s="24" t="n">
        <v>38</v>
      </c>
      <c r="F174" s="60" t="n">
        <v>18.5</v>
      </c>
      <c r="G174" s="60" t="n">
        <v>3.36</v>
      </c>
      <c r="H174" s="24" t="n">
        <v>1</v>
      </c>
      <c r="I174" s="25" t="inlineStr">
        <is>
          <t>Y</t>
        </is>
      </c>
      <c r="J174" s="26" t="inlineStr">
        <is>
          <t>완박스 정보.xlsx</t>
        </is>
      </c>
      <c r="K174" s="26" t="inlineStr">
        <is>
          <t>FBX022</t>
        </is>
      </c>
      <c r="L174" s="26" t="inlineStr">
        <is>
          <t>OWN_CARTON</t>
        </is>
      </c>
      <c r="M174" s="26" t="inlineStr">
        <is>
          <t>FULLBOX_CARTON</t>
        </is>
      </c>
      <c r="N174" s="25" t="inlineStr">
        <is>
          <t>N</t>
        </is>
      </c>
      <c r="O174" s="26" t="n"/>
      <c r="P174" s="26" t="inlineStr">
        <is>
          <t>REMAINDER_TO_REPACK</t>
        </is>
      </c>
      <c r="Q174" s="25" t="inlineStr">
        <is>
          <t>OK</t>
        </is>
      </c>
      <c r="R174" s="26" t="inlineStr">
        <is>
          <t>완박스를 표준박스로 매핑하지 않고 자체 출고 카톤으로 사용</t>
        </is>
      </c>
      <c r="S174" s="27" t="inlineStr">
        <is>
          <t>FBX022</t>
        </is>
      </c>
      <c r="T174" s="27" t="inlineStr">
        <is>
          <t>완박스 41.5x38x18.5</t>
        </is>
      </c>
      <c r="U174" s="27" t="inlineStr">
        <is>
          <t>Y</t>
        </is>
      </c>
      <c r="V174" s="27" t="inlineStr">
        <is>
          <t>FBG073</t>
        </is>
      </c>
    </row>
    <row r="175" ht="30" customHeight="1" s="42">
      <c r="A175" s="26" t="inlineStr">
        <is>
          <t>B206520</t>
        </is>
      </c>
      <c r="B175" s="26" t="inlineStr">
        <is>
          <t>하이알듀 미드 리도 (수출용)</t>
        </is>
      </c>
      <c r="C175" s="24" t="n">
        <v>50</v>
      </c>
      <c r="D175" s="60" t="n">
        <v>41.5</v>
      </c>
      <c r="E175" s="24" t="n">
        <v>38</v>
      </c>
      <c r="F175" s="60" t="n">
        <v>18.5</v>
      </c>
      <c r="G175" s="60" t="n">
        <v>3.36</v>
      </c>
      <c r="H175" s="24" t="n">
        <v>1</v>
      </c>
      <c r="I175" s="25" t="inlineStr">
        <is>
          <t>Y</t>
        </is>
      </c>
      <c r="J175" s="26" t="inlineStr">
        <is>
          <t>완박스 정보.xlsx</t>
        </is>
      </c>
      <c r="K175" s="26" t="inlineStr">
        <is>
          <t>FBX022</t>
        </is>
      </c>
      <c r="L175" s="26" t="inlineStr">
        <is>
          <t>OWN_CARTON</t>
        </is>
      </c>
      <c r="M175" s="26" t="inlineStr">
        <is>
          <t>FULLBOX_CARTON</t>
        </is>
      </c>
      <c r="N175" s="25" t="inlineStr">
        <is>
          <t>N</t>
        </is>
      </c>
      <c r="O175" s="26" t="n"/>
      <c r="P175" s="26" t="inlineStr">
        <is>
          <t>REMAINDER_TO_REPACK</t>
        </is>
      </c>
      <c r="Q175" s="25" t="inlineStr">
        <is>
          <t>OK</t>
        </is>
      </c>
      <c r="R175" s="26" t="inlineStr">
        <is>
          <t>완박스를 표준박스로 매핑하지 않고 자체 출고 카톤으로 사용</t>
        </is>
      </c>
      <c r="S175" s="27" t="inlineStr">
        <is>
          <t>FBX022</t>
        </is>
      </c>
      <c r="T175" s="27" t="inlineStr">
        <is>
          <t>완박스 41.5x38x18.5</t>
        </is>
      </c>
      <c r="U175" s="27" t="inlineStr">
        <is>
          <t>Y</t>
        </is>
      </c>
      <c r="V175" s="27" t="inlineStr">
        <is>
          <t>FBG073</t>
        </is>
      </c>
    </row>
    <row r="176" ht="30" customHeight="1" s="42">
      <c r="A176" s="26" t="inlineStr">
        <is>
          <t>B206640</t>
        </is>
      </c>
      <c r="B176" s="26" t="inlineStr">
        <is>
          <t>하이알듀 샤인 노리도 (수출용)</t>
        </is>
      </c>
      <c r="C176" s="24" t="n">
        <v>50</v>
      </c>
      <c r="D176" s="60" t="n">
        <v>41.5</v>
      </c>
      <c r="E176" s="24" t="n">
        <v>38</v>
      </c>
      <c r="F176" s="60" t="n">
        <v>18.5</v>
      </c>
      <c r="G176" s="60" t="n">
        <v>3.36</v>
      </c>
      <c r="H176" s="24" t="n">
        <v>1</v>
      </c>
      <c r="I176" s="25" t="inlineStr">
        <is>
          <t>Y</t>
        </is>
      </c>
      <c r="J176" s="26" t="inlineStr">
        <is>
          <t>완박스 정보.xlsx</t>
        </is>
      </c>
      <c r="K176" s="26" t="inlineStr">
        <is>
          <t>FBX022</t>
        </is>
      </c>
      <c r="L176" s="26" t="inlineStr">
        <is>
          <t>OWN_CARTON</t>
        </is>
      </c>
      <c r="M176" s="26" t="inlineStr">
        <is>
          <t>FULLBOX_CARTON</t>
        </is>
      </c>
      <c r="N176" s="25" t="inlineStr">
        <is>
          <t>N</t>
        </is>
      </c>
      <c r="O176" s="26" t="n"/>
      <c r="P176" s="26" t="inlineStr">
        <is>
          <t>REMAINDER_TO_REPACK</t>
        </is>
      </c>
      <c r="Q176" s="25" t="inlineStr">
        <is>
          <t>OK</t>
        </is>
      </c>
      <c r="R176" s="26" t="inlineStr">
        <is>
          <t>완박스를 표준박스로 매핑하지 않고 자체 출고 카톤으로 사용</t>
        </is>
      </c>
      <c r="S176" s="27" t="inlineStr">
        <is>
          <t>FBX022</t>
        </is>
      </c>
      <c r="T176" s="27" t="inlineStr">
        <is>
          <t>완박스 41.5x38x18.5</t>
        </is>
      </c>
      <c r="U176" s="27" t="inlineStr">
        <is>
          <t>Y</t>
        </is>
      </c>
      <c r="V176" s="27" t="inlineStr">
        <is>
          <t>FBG073</t>
        </is>
      </c>
    </row>
    <row r="177" ht="30" customHeight="1" s="42">
      <c r="A177" s="26" t="inlineStr">
        <is>
          <t>B206540</t>
        </is>
      </c>
      <c r="B177" s="26" t="inlineStr">
        <is>
          <t>하이알듀 샤인 리도 (수출용)</t>
        </is>
      </c>
      <c r="C177" s="24" t="n">
        <v>50</v>
      </c>
      <c r="D177" s="60" t="n">
        <v>41.5</v>
      </c>
      <c r="E177" s="24" t="n">
        <v>38</v>
      </c>
      <c r="F177" s="60" t="n">
        <v>18.5</v>
      </c>
      <c r="G177" s="60" t="n">
        <v>3.36</v>
      </c>
      <c r="H177" s="24" t="n">
        <v>1</v>
      </c>
      <c r="I177" s="25" t="inlineStr">
        <is>
          <t>Y</t>
        </is>
      </c>
      <c r="J177" s="26" t="inlineStr">
        <is>
          <t>완박스 정보.xlsx</t>
        </is>
      </c>
      <c r="K177" s="26" t="inlineStr">
        <is>
          <t>FBX022</t>
        </is>
      </c>
      <c r="L177" s="26" t="inlineStr">
        <is>
          <t>OWN_CARTON</t>
        </is>
      </c>
      <c r="M177" s="26" t="inlineStr">
        <is>
          <t>FULLBOX_CARTON</t>
        </is>
      </c>
      <c r="N177" s="25" t="inlineStr">
        <is>
          <t>N</t>
        </is>
      </c>
      <c r="O177" s="26" t="n"/>
      <c r="P177" s="26" t="inlineStr">
        <is>
          <t>REMAINDER_TO_REPACK</t>
        </is>
      </c>
      <c r="Q177" s="25" t="inlineStr">
        <is>
          <t>OK</t>
        </is>
      </c>
      <c r="R177" s="26" t="inlineStr">
        <is>
          <t>완박스를 표준박스로 매핑하지 않고 자체 출고 카톤으로 사용</t>
        </is>
      </c>
      <c r="S177" s="27" t="inlineStr">
        <is>
          <t>FBX022</t>
        </is>
      </c>
      <c r="T177" s="27" t="inlineStr">
        <is>
          <t>완박스 41.5x38x18.5</t>
        </is>
      </c>
      <c r="U177" s="27" t="inlineStr">
        <is>
          <t>Y</t>
        </is>
      </c>
      <c r="V177" s="27" t="inlineStr">
        <is>
          <t>FBG073</t>
        </is>
      </c>
    </row>
    <row r="178" ht="30" customHeight="1" s="42">
      <c r="A178" s="26" t="inlineStr">
        <is>
          <t>B206610</t>
        </is>
      </c>
      <c r="B178" s="26" t="inlineStr">
        <is>
          <t>하이알듀 올 노리도 (수출용)</t>
        </is>
      </c>
      <c r="C178" s="24" t="n">
        <v>50</v>
      </c>
      <c r="D178" s="60" t="n">
        <v>41.5</v>
      </c>
      <c r="E178" s="24" t="n">
        <v>38</v>
      </c>
      <c r="F178" s="60" t="n">
        <v>18.5</v>
      </c>
      <c r="G178" s="60" t="n">
        <v>3.36</v>
      </c>
      <c r="H178" s="24" t="n">
        <v>1</v>
      </c>
      <c r="I178" s="25" t="inlineStr">
        <is>
          <t>Y</t>
        </is>
      </c>
      <c r="J178" s="26" t="inlineStr">
        <is>
          <t>완박스 정보.xlsx</t>
        </is>
      </c>
      <c r="K178" s="26" t="inlineStr">
        <is>
          <t>FBX022</t>
        </is>
      </c>
      <c r="L178" s="26" t="inlineStr">
        <is>
          <t>OWN_CARTON</t>
        </is>
      </c>
      <c r="M178" s="26" t="inlineStr">
        <is>
          <t>FULLBOX_CARTON</t>
        </is>
      </c>
      <c r="N178" s="25" t="inlineStr">
        <is>
          <t>N</t>
        </is>
      </c>
      <c r="O178" s="26" t="n"/>
      <c r="P178" s="26" t="inlineStr">
        <is>
          <t>REMAINDER_TO_REPACK</t>
        </is>
      </c>
      <c r="Q178" s="25" t="inlineStr">
        <is>
          <t>OK</t>
        </is>
      </c>
      <c r="R178" s="26" t="inlineStr">
        <is>
          <t>완박스를 표준박스로 매핑하지 않고 자체 출고 카톤으로 사용</t>
        </is>
      </c>
      <c r="S178" s="27" t="inlineStr">
        <is>
          <t>FBX022</t>
        </is>
      </c>
      <c r="T178" s="27" t="inlineStr">
        <is>
          <t>완박스 41.5x38x18.5</t>
        </is>
      </c>
      <c r="U178" s="27" t="inlineStr">
        <is>
          <t>Y</t>
        </is>
      </c>
      <c r="V178" s="27" t="inlineStr">
        <is>
          <t>FBG073</t>
        </is>
      </c>
    </row>
    <row r="179" ht="30" customHeight="1" s="42">
      <c r="A179" s="26" t="inlineStr">
        <is>
          <t>B206410</t>
        </is>
      </c>
      <c r="B179" s="26" t="inlineStr">
        <is>
          <t>하이알듀 올 리도</t>
        </is>
      </c>
      <c r="C179" s="24" t="n">
        <v>50</v>
      </c>
      <c r="D179" s="60" t="n">
        <v>41.5</v>
      </c>
      <c r="E179" s="24" t="n">
        <v>38</v>
      </c>
      <c r="F179" s="60" t="n">
        <v>18.5</v>
      </c>
      <c r="G179" s="60" t="n">
        <v>3.36</v>
      </c>
      <c r="H179" s="24" t="n">
        <v>1</v>
      </c>
      <c r="I179" s="25" t="inlineStr">
        <is>
          <t>Y</t>
        </is>
      </c>
      <c r="J179" s="26" t="inlineStr">
        <is>
          <t>완박스 정보.xlsx</t>
        </is>
      </c>
      <c r="K179" s="26" t="inlineStr">
        <is>
          <t>FBX022</t>
        </is>
      </c>
      <c r="L179" s="26" t="inlineStr">
        <is>
          <t>OWN_CARTON</t>
        </is>
      </c>
      <c r="M179" s="26" t="inlineStr">
        <is>
          <t>FULLBOX_CARTON</t>
        </is>
      </c>
      <c r="N179" s="25" t="inlineStr">
        <is>
          <t>N</t>
        </is>
      </c>
      <c r="O179" s="26" t="n"/>
      <c r="P179" s="26" t="inlineStr">
        <is>
          <t>REMAINDER_TO_REPACK</t>
        </is>
      </c>
      <c r="Q179" s="25" t="inlineStr">
        <is>
          <t>OK</t>
        </is>
      </c>
      <c r="R179" s="26" t="inlineStr">
        <is>
          <t>완박스를 표준박스로 매핑하지 않고 자체 출고 카톤으로 사용</t>
        </is>
      </c>
      <c r="S179" s="27" t="inlineStr">
        <is>
          <t>FBX022</t>
        </is>
      </c>
      <c r="T179" s="27" t="inlineStr">
        <is>
          <t>완박스 41.5x38x18.5</t>
        </is>
      </c>
      <c r="U179" s="27" t="inlineStr">
        <is>
          <t>Y</t>
        </is>
      </c>
      <c r="V179" s="27" t="inlineStr">
        <is>
          <t>FBG073</t>
        </is>
      </c>
    </row>
    <row r="180" ht="30" customHeight="1" s="42">
      <c r="A180" s="26" t="inlineStr">
        <is>
          <t>B206510</t>
        </is>
      </c>
      <c r="B180" s="26" t="inlineStr">
        <is>
          <t>하이알듀 올 리도 (수출용)</t>
        </is>
      </c>
      <c r="C180" s="24" t="n">
        <v>50</v>
      </c>
      <c r="D180" s="60" t="n">
        <v>41.5</v>
      </c>
      <c r="E180" s="24" t="n">
        <v>38</v>
      </c>
      <c r="F180" s="60" t="n">
        <v>18.5</v>
      </c>
      <c r="G180" s="60" t="n">
        <v>3.36</v>
      </c>
      <c r="H180" s="24" t="n">
        <v>1</v>
      </c>
      <c r="I180" s="25" t="inlineStr">
        <is>
          <t>Y</t>
        </is>
      </c>
      <c r="J180" s="26" t="inlineStr">
        <is>
          <t>완박스 정보.xlsx</t>
        </is>
      </c>
      <c r="K180" s="26" t="inlineStr">
        <is>
          <t>FBX022</t>
        </is>
      </c>
      <c r="L180" s="26" t="inlineStr">
        <is>
          <t>OWN_CARTON</t>
        </is>
      </c>
      <c r="M180" s="26" t="inlineStr">
        <is>
          <t>FULLBOX_CARTON</t>
        </is>
      </c>
      <c r="N180" s="25" t="inlineStr">
        <is>
          <t>N</t>
        </is>
      </c>
      <c r="O180" s="26" t="n"/>
      <c r="P180" s="26" t="inlineStr">
        <is>
          <t>REMAINDER_TO_REPACK</t>
        </is>
      </c>
      <c r="Q180" s="25" t="inlineStr">
        <is>
          <t>OK</t>
        </is>
      </c>
      <c r="R180" s="26" t="inlineStr">
        <is>
          <t>완박스를 표준박스로 매핑하지 않고 자체 출고 카톤으로 사용</t>
        </is>
      </c>
      <c r="S180" s="27" t="inlineStr">
        <is>
          <t>FBX022</t>
        </is>
      </c>
      <c r="T180" s="27" t="inlineStr">
        <is>
          <t>완박스 41.5x38x18.5</t>
        </is>
      </c>
      <c r="U180" s="27" t="inlineStr">
        <is>
          <t>Y</t>
        </is>
      </c>
      <c r="V180" s="27" t="inlineStr">
        <is>
          <t>FBG073</t>
        </is>
      </c>
    </row>
    <row r="181" ht="30" customHeight="1" s="42">
      <c r="A181" s="26" t="inlineStr">
        <is>
          <t>B206630</t>
        </is>
      </c>
      <c r="B181" s="26" t="inlineStr">
        <is>
          <t>하이알듀 파인 노리도 (수출용)</t>
        </is>
      </c>
      <c r="C181" s="24" t="n">
        <v>50</v>
      </c>
      <c r="D181" s="60" t="n">
        <v>41.5</v>
      </c>
      <c r="E181" s="24" t="n">
        <v>38</v>
      </c>
      <c r="F181" s="60" t="n">
        <v>18.5</v>
      </c>
      <c r="G181" s="60" t="n">
        <v>3.36</v>
      </c>
      <c r="H181" s="24" t="n">
        <v>1</v>
      </c>
      <c r="I181" s="25" t="inlineStr">
        <is>
          <t>Y</t>
        </is>
      </c>
      <c r="J181" s="26" t="inlineStr">
        <is>
          <t>완박스 정보.xlsx</t>
        </is>
      </c>
      <c r="K181" s="26" t="inlineStr">
        <is>
          <t>FBX022</t>
        </is>
      </c>
      <c r="L181" s="26" t="inlineStr">
        <is>
          <t>OWN_CARTON</t>
        </is>
      </c>
      <c r="M181" s="26" t="inlineStr">
        <is>
          <t>FULLBOX_CARTON</t>
        </is>
      </c>
      <c r="N181" s="25" t="inlineStr">
        <is>
          <t>N</t>
        </is>
      </c>
      <c r="O181" s="26" t="n"/>
      <c r="P181" s="26" t="inlineStr">
        <is>
          <t>REMAINDER_TO_REPACK</t>
        </is>
      </c>
      <c r="Q181" s="25" t="inlineStr">
        <is>
          <t>OK</t>
        </is>
      </c>
      <c r="R181" s="26" t="inlineStr">
        <is>
          <t>완박스를 표준박스로 매핑하지 않고 자체 출고 카톤으로 사용</t>
        </is>
      </c>
      <c r="S181" s="27" t="inlineStr">
        <is>
          <t>FBX022</t>
        </is>
      </c>
      <c r="T181" s="27" t="inlineStr">
        <is>
          <t>완박스 41.5x38x18.5</t>
        </is>
      </c>
      <c r="U181" s="27" t="inlineStr">
        <is>
          <t>Y</t>
        </is>
      </c>
      <c r="V181" s="27" t="inlineStr">
        <is>
          <t>FBG073</t>
        </is>
      </c>
    </row>
    <row r="182" ht="30" customHeight="1" s="42">
      <c r="A182" s="26" t="inlineStr">
        <is>
          <t>B206530</t>
        </is>
      </c>
      <c r="B182" s="26" t="inlineStr">
        <is>
          <t>하이알듀 파인 리도 (수출용)</t>
        </is>
      </c>
      <c r="C182" s="24" t="n">
        <v>50</v>
      </c>
      <c r="D182" s="60" t="n">
        <v>41.5</v>
      </c>
      <c r="E182" s="24" t="n">
        <v>38</v>
      </c>
      <c r="F182" s="60" t="n">
        <v>18.5</v>
      </c>
      <c r="G182" s="60" t="n">
        <v>3.36</v>
      </c>
      <c r="H182" s="24" t="n">
        <v>1</v>
      </c>
      <c r="I182" s="25" t="inlineStr">
        <is>
          <t>Y</t>
        </is>
      </c>
      <c r="J182" s="26" t="inlineStr">
        <is>
          <t>완박스 정보.xlsx</t>
        </is>
      </c>
      <c r="K182" s="26" t="inlineStr">
        <is>
          <t>FBX022</t>
        </is>
      </c>
      <c r="L182" s="26" t="inlineStr">
        <is>
          <t>OWN_CARTON</t>
        </is>
      </c>
      <c r="M182" s="26" t="inlineStr">
        <is>
          <t>FULLBOX_CARTON</t>
        </is>
      </c>
      <c r="N182" s="25" t="inlineStr">
        <is>
          <t>N</t>
        </is>
      </c>
      <c r="O182" s="26" t="n"/>
      <c r="P182" s="26" t="inlineStr">
        <is>
          <t>REMAINDER_TO_REPACK</t>
        </is>
      </c>
      <c r="Q182" s="25" t="inlineStr">
        <is>
          <t>OK</t>
        </is>
      </c>
      <c r="R182" s="26" t="inlineStr">
        <is>
          <t>완박스를 표준박스로 매핑하지 않고 자체 출고 카톤으로 사용</t>
        </is>
      </c>
      <c r="S182" s="27" t="inlineStr">
        <is>
          <t>FBX022</t>
        </is>
      </c>
      <c r="T182" s="27" t="inlineStr">
        <is>
          <t>완박스 41.5x38x18.5</t>
        </is>
      </c>
      <c r="U182" s="27" t="inlineStr">
        <is>
          <t>Y</t>
        </is>
      </c>
      <c r="V182" s="27" t="inlineStr">
        <is>
          <t>FBG073</t>
        </is>
      </c>
    </row>
    <row r="183" ht="30" customHeight="1" s="42">
      <c r="A183" s="26" t="inlineStr">
        <is>
          <t>B101810</t>
        </is>
      </c>
      <c r="B183" s="26" t="inlineStr">
        <is>
          <t>휴톡스100u</t>
        </is>
      </c>
      <c r="C183" s="24" t="n">
        <v>100</v>
      </c>
      <c r="D183" s="60" t="n">
        <v>48.5</v>
      </c>
      <c r="E183" s="60" t="n">
        <v>18.5</v>
      </c>
      <c r="F183" s="24" t="n">
        <v>17</v>
      </c>
      <c r="G183" s="60" t="n">
        <v>2.9</v>
      </c>
      <c r="H183" s="24" t="n">
        <v>1</v>
      </c>
      <c r="I183" s="25" t="inlineStr">
        <is>
          <t>Y</t>
        </is>
      </c>
      <c r="J183" s="26" t="inlineStr">
        <is>
          <t>완박스 정보.xlsx</t>
        </is>
      </c>
      <c r="K183" s="26" t="inlineStr">
        <is>
          <t>FBX057</t>
        </is>
      </c>
      <c r="L183" s="26" t="inlineStr">
        <is>
          <t>OWN_CARTON</t>
        </is>
      </c>
      <c r="M183" s="26" t="inlineStr">
        <is>
          <t>FULLBOX_CARTON</t>
        </is>
      </c>
      <c r="N183" s="25" t="inlineStr">
        <is>
          <t>N</t>
        </is>
      </c>
      <c r="O183" s="26" t="n"/>
      <c r="P183" s="26" t="inlineStr">
        <is>
          <t>REMAINDER_TO_REPACK</t>
        </is>
      </c>
      <c r="Q183" s="25" t="inlineStr">
        <is>
          <t>OK</t>
        </is>
      </c>
      <c r="R183" s="26" t="inlineStr">
        <is>
          <t>완박스를 표준박스로 매핑하지 않고 자체 출고 카톤으로 사용</t>
        </is>
      </c>
      <c r="S183" s="27" t="inlineStr">
        <is>
          <t>FBX057</t>
        </is>
      </c>
      <c r="T183" s="27" t="inlineStr">
        <is>
          <t>완박스 48.5x18.5x17</t>
        </is>
      </c>
      <c r="U183" s="27" t="inlineStr">
        <is>
          <t>Y</t>
        </is>
      </c>
      <c r="V183" s="27" t="inlineStr">
        <is>
          <t>FBG028</t>
        </is>
      </c>
    </row>
    <row r="184">
      <c r="A184" s="26" t="inlineStr">
        <is>
          <t>B308610</t>
        </is>
      </c>
      <c r="B184" s="26" t="inlineStr">
        <is>
          <t>히아론 프리필드</t>
        </is>
      </c>
      <c r="C184" s="24" t="n">
        <v>30</v>
      </c>
      <c r="D184" s="24" t="n">
        <v>60</v>
      </c>
      <c r="E184" s="24" t="n">
        <v>35</v>
      </c>
      <c r="F184" s="60" t="n">
        <v>30.5</v>
      </c>
      <c r="G184" s="60" t="n">
        <v>9.6</v>
      </c>
      <c r="H184" s="24" t="n">
        <v>1</v>
      </c>
      <c r="I184" s="25" t="inlineStr">
        <is>
          <t>Y</t>
        </is>
      </c>
      <c r="J184" s="26" t="inlineStr">
        <is>
          <t>완박스 정보.xlsx</t>
        </is>
      </c>
      <c r="K184" s="26" t="inlineStr">
        <is>
          <t>FBX085</t>
        </is>
      </c>
      <c r="L184" s="26" t="inlineStr">
        <is>
          <t>OWN_CARTON</t>
        </is>
      </c>
      <c r="M184" s="26" t="inlineStr">
        <is>
          <t>FULLBOX_CARTON</t>
        </is>
      </c>
      <c r="N184" s="25" t="inlineStr">
        <is>
          <t>N</t>
        </is>
      </c>
      <c r="O184" s="26" t="n"/>
      <c r="P184" s="26" t="inlineStr">
        <is>
          <t>REMAINDER_TO_REPACK</t>
        </is>
      </c>
      <c r="Q184" s="25" t="inlineStr">
        <is>
          <t>OK</t>
        </is>
      </c>
      <c r="R184" s="26" t="inlineStr">
        <is>
          <t>완박스를 표준박스로 매핑하지 않고 자체 출고 카톤으로 사용</t>
        </is>
      </c>
      <c r="S184" s="27" t="inlineStr">
        <is>
          <t>FBX085</t>
        </is>
      </c>
      <c r="T184" s="27" t="inlineStr">
        <is>
          <t>완박스 60x35x30.5</t>
        </is>
      </c>
      <c r="U184" s="27" t="inlineStr">
        <is>
          <t>Y</t>
        </is>
      </c>
      <c r="V184" s="27" t="inlineStr">
        <is>
          <t>FBG055</t>
        </is>
      </c>
    </row>
    <row r="185" ht="30" customHeight="1" s="42">
      <c r="A185" s="26" t="inlineStr">
        <is>
          <t>B206920</t>
        </is>
      </c>
      <c r="B185" s="26" t="inlineStr">
        <is>
          <t>히아필리아 미담 딥 플러스</t>
        </is>
      </c>
      <c r="C185" s="24" t="n">
        <v>100</v>
      </c>
      <c r="D185" s="24" t="n">
        <v>39</v>
      </c>
      <c r="E185" s="60" t="n">
        <v>36.5</v>
      </c>
      <c r="F185" s="60" t="n">
        <v>24.5</v>
      </c>
      <c r="G185" s="60" t="n">
        <v>4.8</v>
      </c>
      <c r="H185" s="24" t="n">
        <v>1</v>
      </c>
      <c r="I185" s="25" t="inlineStr">
        <is>
          <t>Y</t>
        </is>
      </c>
      <c r="J185" s="26" t="inlineStr">
        <is>
          <t>완박스 정보.xlsx</t>
        </is>
      </c>
      <c r="K185" s="26" t="inlineStr">
        <is>
          <t>FBX009</t>
        </is>
      </c>
      <c r="L185" s="26" t="inlineStr">
        <is>
          <t>OWN_CARTON</t>
        </is>
      </c>
      <c r="M185" s="26" t="inlineStr">
        <is>
          <t>FULLBOX_CARTON</t>
        </is>
      </c>
      <c r="N185" s="25" t="inlineStr">
        <is>
          <t>N</t>
        </is>
      </c>
      <c r="O185" s="26" t="n"/>
      <c r="P185" s="26" t="inlineStr">
        <is>
          <t>REMAINDER_TO_REPACK</t>
        </is>
      </c>
      <c r="Q185" s="25" t="inlineStr">
        <is>
          <t>OK</t>
        </is>
      </c>
      <c r="R185" s="26" t="inlineStr">
        <is>
          <t>완박스를 표준박스로 매핑하지 않고 자체 출고 카톤으로 사용</t>
        </is>
      </c>
      <c r="S185" s="27" t="inlineStr">
        <is>
          <t>FBX009</t>
        </is>
      </c>
      <c r="T185" s="27" t="inlineStr">
        <is>
          <t>완박스 39x36.5x24.5</t>
        </is>
      </c>
      <c r="U185" s="27" t="inlineStr">
        <is>
          <t>Y</t>
        </is>
      </c>
      <c r="V185" s="27" t="inlineStr">
        <is>
          <t>FBG006</t>
        </is>
      </c>
    </row>
    <row r="186">
      <c r="A186" s="22" t="inlineStr">
        <is>
          <t>B300210</t>
        </is>
      </c>
      <c r="B186" s="22" t="inlineStr">
        <is>
          <t>고우리</t>
        </is>
      </c>
      <c r="C186" s="23" t="n">
        <v>100</v>
      </c>
      <c r="D186" s="23" t="n">
        <v>39</v>
      </c>
      <c r="E186" s="23" t="n">
        <v>36</v>
      </c>
      <c r="F186" s="23" t="n">
        <v>32</v>
      </c>
      <c r="G186" s="23" t="n">
        <v>7.6</v>
      </c>
      <c r="H186" s="24" t="n">
        <v>1</v>
      </c>
      <c r="I186" s="25" t="inlineStr">
        <is>
          <t>Y</t>
        </is>
      </c>
      <c r="J186" s="26" t="inlineStr">
        <is>
          <t>완박스 정보.xlsx</t>
        </is>
      </c>
      <c r="K186" s="22" t="inlineStr">
        <is>
          <t>FBX093</t>
        </is>
      </c>
      <c r="L186" s="26" t="inlineStr">
        <is>
          <t>OWN_CARTON</t>
        </is>
      </c>
      <c r="M186" s="26" t="inlineStr">
        <is>
          <t>FULLBOX_CARTON</t>
        </is>
      </c>
      <c r="N186" s="25" t="inlineStr">
        <is>
          <t>N</t>
        </is>
      </c>
      <c r="O186" s="22" t="n"/>
      <c r="P186" s="26" t="inlineStr">
        <is>
          <t>REMAINDER_TO_REPACK</t>
        </is>
      </c>
      <c r="Q186" s="25" t="inlineStr">
        <is>
          <t>OK</t>
        </is>
      </c>
      <c r="R186" s="26" t="inlineStr">
        <is>
          <t>완박스를 표준박스로 매핑하지 않고 자체 출고 카톤으로 사용</t>
        </is>
      </c>
      <c r="S186" s="22" t="inlineStr">
        <is>
          <t>FBX093</t>
        </is>
      </c>
      <c r="T186" s="22" t="inlineStr">
        <is>
          <t>완박스 39x36x32</t>
        </is>
      </c>
      <c r="U186" s="27" t="inlineStr">
        <is>
          <t>Y</t>
        </is>
      </c>
      <c r="V186" s="22" t="inlineStr">
        <is>
          <t>FBG096</t>
        </is>
      </c>
    </row>
    <row r="187">
      <c r="A187" s="22" t="inlineStr">
        <is>
          <t>A300510</t>
        </is>
      </c>
      <c r="B187" s="22" t="inlineStr">
        <is>
          <t>드메이 샤인부스터</t>
        </is>
      </c>
      <c r="C187" s="23" t="n">
        <v>60</v>
      </c>
      <c r="D187" s="23" t="n">
        <v>52.5</v>
      </c>
      <c r="E187" s="23" t="n">
        <v>40.5</v>
      </c>
      <c r="F187" s="23" t="n">
        <v>24</v>
      </c>
      <c r="G187" s="23" t="n">
        <v>9.699999999999999</v>
      </c>
      <c r="H187" s="24" t="n">
        <v>1</v>
      </c>
      <c r="I187" s="25" t="inlineStr">
        <is>
          <t>Y</t>
        </is>
      </c>
      <c r="J187" s="26" t="inlineStr">
        <is>
          <t>완박스 정보.xlsx</t>
        </is>
      </c>
      <c r="K187" s="22" t="inlineStr">
        <is>
          <t>FBX094</t>
        </is>
      </c>
      <c r="L187" s="26" t="inlineStr">
        <is>
          <t>OWN_CARTON</t>
        </is>
      </c>
      <c r="M187" s="26" t="inlineStr">
        <is>
          <t>FULLBOX_CARTON</t>
        </is>
      </c>
      <c r="N187" s="25" t="inlineStr">
        <is>
          <t>N</t>
        </is>
      </c>
      <c r="O187" s="22" t="n"/>
      <c r="P187" s="26" t="inlineStr">
        <is>
          <t>REMAINDER_TO_REPACK</t>
        </is>
      </c>
      <c r="Q187" s="25" t="inlineStr">
        <is>
          <t>OK</t>
        </is>
      </c>
      <c r="R187" s="26" t="inlineStr">
        <is>
          <t>완박스를 표준박스로 매핑하지 않고 자체 출고 카톤으로 사용</t>
        </is>
      </c>
      <c r="S187" s="22" t="inlineStr">
        <is>
          <t>FBX094</t>
        </is>
      </c>
      <c r="T187" s="22" t="inlineStr">
        <is>
          <t>완박스 52.5x40.5x24</t>
        </is>
      </c>
      <c r="U187" s="27" t="inlineStr">
        <is>
          <t>Y</t>
        </is>
      </c>
      <c r="V187" s="22" t="inlineStr">
        <is>
          <t>FBG097</t>
        </is>
      </c>
    </row>
    <row r="188">
      <c r="A188" s="22" t="inlineStr">
        <is>
          <t>A200230</t>
        </is>
      </c>
      <c r="B188" s="22" t="inlineStr">
        <is>
          <t>드메이CE1</t>
        </is>
      </c>
      <c r="C188" s="23" t="n">
        <v>100</v>
      </c>
      <c r="D188" s="23" t="n">
        <v>43</v>
      </c>
      <c r="E188" s="23" t="n">
        <v>37</v>
      </c>
      <c r="F188" s="23" t="n">
        <v>29.5</v>
      </c>
      <c r="G188" s="23" t="n">
        <v>5.52</v>
      </c>
      <c r="H188" s="24" t="n">
        <v>1</v>
      </c>
      <c r="I188" s="25" t="inlineStr">
        <is>
          <t>Y</t>
        </is>
      </c>
      <c r="J188" s="26" t="inlineStr">
        <is>
          <t>완박스 정보.xlsx</t>
        </is>
      </c>
      <c r="K188" s="22" t="inlineStr">
        <is>
          <t>FBX095</t>
        </is>
      </c>
      <c r="L188" s="26" t="inlineStr">
        <is>
          <t>OWN_CARTON</t>
        </is>
      </c>
      <c r="M188" s="26" t="inlineStr">
        <is>
          <t>FULLBOX_CARTON</t>
        </is>
      </c>
      <c r="N188" s="25" t="inlineStr">
        <is>
          <t>N</t>
        </is>
      </c>
      <c r="O188" s="22" t="n"/>
      <c r="P188" s="26" t="inlineStr">
        <is>
          <t>REMAINDER_TO_REPACK</t>
        </is>
      </c>
      <c r="Q188" s="25" t="inlineStr">
        <is>
          <t>OK</t>
        </is>
      </c>
      <c r="R188" s="26" t="inlineStr">
        <is>
          <t>완박스를 표준박스로 매핑하지 않고 자체 출고 카톤으로 사용</t>
        </is>
      </c>
      <c r="S188" s="22" t="inlineStr">
        <is>
          <t>FBX095</t>
        </is>
      </c>
      <c r="T188" s="22" t="inlineStr">
        <is>
          <t>완박스 43x37x29.5</t>
        </is>
      </c>
      <c r="U188" s="27" t="inlineStr">
        <is>
          <t>Y</t>
        </is>
      </c>
      <c r="V188" s="22" t="inlineStr">
        <is>
          <t>FBG013</t>
        </is>
      </c>
    </row>
    <row r="189">
      <c r="A189" s="22" t="inlineStr">
        <is>
          <t>A200220</t>
        </is>
      </c>
      <c r="B189" s="22" t="inlineStr">
        <is>
          <t>드메이CE2</t>
        </is>
      </c>
      <c r="C189" s="23" t="n">
        <v>100</v>
      </c>
      <c r="D189" s="23" t="n">
        <v>43</v>
      </c>
      <c r="E189" s="23" t="n">
        <v>37</v>
      </c>
      <c r="F189" s="23" t="n">
        <v>29.5</v>
      </c>
      <c r="G189" s="23" t="n">
        <v>5.52</v>
      </c>
      <c r="H189" s="24" t="n">
        <v>1</v>
      </c>
      <c r="I189" s="25" t="inlineStr">
        <is>
          <t>Y</t>
        </is>
      </c>
      <c r="J189" s="26" t="inlineStr">
        <is>
          <t>완박스 정보.xlsx</t>
        </is>
      </c>
      <c r="K189" s="22" t="inlineStr">
        <is>
          <t>FBX095</t>
        </is>
      </c>
      <c r="L189" s="26" t="inlineStr">
        <is>
          <t>OWN_CARTON</t>
        </is>
      </c>
      <c r="M189" s="26" t="inlineStr">
        <is>
          <t>FULLBOX_CARTON</t>
        </is>
      </c>
      <c r="N189" s="25" t="inlineStr">
        <is>
          <t>N</t>
        </is>
      </c>
      <c r="O189" s="22" t="n"/>
      <c r="P189" s="26" t="inlineStr">
        <is>
          <t>REMAINDER_TO_REPACK</t>
        </is>
      </c>
      <c r="Q189" s="25" t="inlineStr">
        <is>
          <t>OK</t>
        </is>
      </c>
      <c r="R189" s="26" t="inlineStr">
        <is>
          <t>완박스를 표준박스로 매핑하지 않고 자체 출고 카톤으로 사용</t>
        </is>
      </c>
      <c r="S189" s="22" t="inlineStr">
        <is>
          <t>FBX095</t>
        </is>
      </c>
      <c r="T189" s="22" t="inlineStr">
        <is>
          <t>완박스 43x37x29.5</t>
        </is>
      </c>
      <c r="U189" s="27" t="inlineStr">
        <is>
          <t>Y</t>
        </is>
      </c>
      <c r="V189" s="22" t="inlineStr">
        <is>
          <t>FBG013</t>
        </is>
      </c>
    </row>
    <row r="190">
      <c r="A190" s="22" t="inlineStr">
        <is>
          <t>A200210</t>
        </is>
      </c>
      <c r="B190" s="22" t="inlineStr">
        <is>
          <t>드메이CE3</t>
        </is>
      </c>
      <c r="C190" s="23" t="n">
        <v>100</v>
      </c>
      <c r="D190" s="23" t="n">
        <v>43</v>
      </c>
      <c r="E190" s="23" t="n">
        <v>37</v>
      </c>
      <c r="F190" s="23" t="n">
        <v>29.5</v>
      </c>
      <c r="G190" s="23" t="n">
        <v>5.52</v>
      </c>
      <c r="H190" s="24" t="n">
        <v>1</v>
      </c>
      <c r="I190" s="25" t="inlineStr">
        <is>
          <t>Y</t>
        </is>
      </c>
      <c r="J190" s="26" t="inlineStr">
        <is>
          <t>완박스 정보.xlsx</t>
        </is>
      </c>
      <c r="K190" s="22" t="inlineStr">
        <is>
          <t>FBX095</t>
        </is>
      </c>
      <c r="L190" s="26" t="inlineStr">
        <is>
          <t>OWN_CARTON</t>
        </is>
      </c>
      <c r="M190" s="26" t="inlineStr">
        <is>
          <t>FULLBOX_CARTON</t>
        </is>
      </c>
      <c r="N190" s="25" t="inlineStr">
        <is>
          <t>N</t>
        </is>
      </c>
      <c r="O190" s="22" t="n"/>
      <c r="P190" s="26" t="inlineStr">
        <is>
          <t>REMAINDER_TO_REPACK</t>
        </is>
      </c>
      <c r="Q190" s="25" t="inlineStr">
        <is>
          <t>OK</t>
        </is>
      </c>
      <c r="R190" s="26" t="inlineStr">
        <is>
          <t>완박스를 표준박스로 매핑하지 않고 자체 출고 카톤으로 사용</t>
        </is>
      </c>
      <c r="S190" s="22" t="inlineStr">
        <is>
          <t>FBX095</t>
        </is>
      </c>
      <c r="T190" s="22" t="inlineStr">
        <is>
          <t>완박스 43x37x29.5</t>
        </is>
      </c>
      <c r="U190" s="27" t="inlineStr">
        <is>
          <t>Y</t>
        </is>
      </c>
      <c r="V190" s="22" t="inlineStr">
        <is>
          <t>FBG013</t>
        </is>
      </c>
    </row>
    <row r="191">
      <c r="A191" s="22" t="inlineStr">
        <is>
          <t>B302110</t>
        </is>
      </c>
      <c r="B191" s="22" t="inlineStr">
        <is>
          <t>리쥬란 힐러 (니들)</t>
        </is>
      </c>
      <c r="C191" s="23" t="n">
        <v>50</v>
      </c>
      <c r="D191" s="23" t="n">
        <v>58</v>
      </c>
      <c r="E191" s="23" t="n">
        <v>47.5</v>
      </c>
      <c r="F191" s="23" t="n">
        <v>27.5</v>
      </c>
      <c r="G191" s="23" t="n">
        <v>8.82</v>
      </c>
      <c r="H191" s="24" t="n">
        <v>1</v>
      </c>
      <c r="I191" s="25" t="inlineStr">
        <is>
          <t>Y</t>
        </is>
      </c>
      <c r="J191" s="26" t="inlineStr">
        <is>
          <t>완박스 정보.xlsx</t>
        </is>
      </c>
      <c r="K191" s="22" t="inlineStr">
        <is>
          <t>FBX096</t>
        </is>
      </c>
      <c r="L191" s="26" t="inlineStr">
        <is>
          <t>OWN_CARTON</t>
        </is>
      </c>
      <c r="M191" s="26" t="inlineStr">
        <is>
          <t>FULLBOX_CARTON</t>
        </is>
      </c>
      <c r="N191" s="25" t="inlineStr">
        <is>
          <t>N</t>
        </is>
      </c>
      <c r="O191" s="22" t="n"/>
      <c r="P191" s="26" t="inlineStr">
        <is>
          <t>REMAINDER_TO_REPACK</t>
        </is>
      </c>
      <c r="Q191" s="25" t="inlineStr">
        <is>
          <t>OK</t>
        </is>
      </c>
      <c r="R191" s="26" t="inlineStr">
        <is>
          <t>완박스를 표준박스로 매핑하지 않고 자체 출고 카톤으로 사용</t>
        </is>
      </c>
      <c r="S191" s="22" t="inlineStr">
        <is>
          <t>FBX096</t>
        </is>
      </c>
      <c r="T191" s="22" t="inlineStr">
        <is>
          <t>완박스 58x47.5x27.5</t>
        </is>
      </c>
      <c r="U191" s="27" t="inlineStr">
        <is>
          <t>Y</t>
        </is>
      </c>
      <c r="V191" s="22" t="inlineStr">
        <is>
          <t>FBG099</t>
        </is>
      </c>
    </row>
    <row r="192">
      <c r="A192" s="22" t="inlineStr">
        <is>
          <t>B302210</t>
        </is>
      </c>
      <c r="B192" s="22" t="inlineStr">
        <is>
          <t>리쥬란HB</t>
        </is>
      </c>
      <c r="C192" s="23" t="n">
        <v>120</v>
      </c>
      <c r="D192" s="23" t="n">
        <v>63</v>
      </c>
      <c r="E192" s="23" t="n">
        <v>43</v>
      </c>
      <c r="F192" s="23" t="n">
        <v>27.5</v>
      </c>
      <c r="G192" s="23" t="n">
        <v>6.34</v>
      </c>
      <c r="H192" s="24" t="n">
        <v>1</v>
      </c>
      <c r="I192" s="25" t="inlineStr">
        <is>
          <t>Y</t>
        </is>
      </c>
      <c r="J192" s="26" t="inlineStr">
        <is>
          <t>완박스 정보.xlsx</t>
        </is>
      </c>
      <c r="K192" s="22" t="inlineStr">
        <is>
          <t>FBX097</t>
        </is>
      </c>
      <c r="L192" s="26" t="inlineStr">
        <is>
          <t>OWN_CARTON</t>
        </is>
      </c>
      <c r="M192" s="26" t="inlineStr">
        <is>
          <t>FULLBOX_CARTON</t>
        </is>
      </c>
      <c r="N192" s="25" t="inlineStr">
        <is>
          <t>N</t>
        </is>
      </c>
      <c r="O192" s="22" t="n"/>
      <c r="P192" s="26" t="inlineStr">
        <is>
          <t>REMAINDER_TO_REPACK</t>
        </is>
      </c>
      <c r="Q192" s="25" t="inlineStr">
        <is>
          <t>OK</t>
        </is>
      </c>
      <c r="R192" s="26" t="inlineStr">
        <is>
          <t>완박스를 표준박스로 매핑하지 않고 자체 출고 카톤으로 사용</t>
        </is>
      </c>
      <c r="S192" s="22" t="inlineStr">
        <is>
          <t>FBX097</t>
        </is>
      </c>
      <c r="T192" s="22" t="inlineStr">
        <is>
          <t>완박스 63x43x27.5</t>
        </is>
      </c>
      <c r="U192" s="27" t="inlineStr">
        <is>
          <t>Y</t>
        </is>
      </c>
      <c r="V192" s="22" t="inlineStr">
        <is>
          <t>FBG035</t>
        </is>
      </c>
    </row>
    <row r="193">
      <c r="A193" s="22" t="inlineStr">
        <is>
          <t>B302220</t>
        </is>
      </c>
      <c r="B193" s="22" t="inlineStr">
        <is>
          <t>리쥬란I</t>
        </is>
      </c>
      <c r="C193" s="23" t="n">
        <v>120</v>
      </c>
      <c r="D193" s="23" t="n">
        <v>63</v>
      </c>
      <c r="E193" s="23" t="n">
        <v>43</v>
      </c>
      <c r="F193" s="23" t="n">
        <v>27.5</v>
      </c>
      <c r="G193" s="23" t="n">
        <v>6.4</v>
      </c>
      <c r="H193" s="24" t="n">
        <v>1</v>
      </c>
      <c r="I193" s="25" t="inlineStr">
        <is>
          <t>Y</t>
        </is>
      </c>
      <c r="J193" s="26" t="inlineStr">
        <is>
          <t>완박스 정보.xlsx</t>
        </is>
      </c>
      <c r="K193" s="22" t="inlineStr">
        <is>
          <t>FBX098</t>
        </is>
      </c>
      <c r="L193" s="26" t="inlineStr">
        <is>
          <t>OWN_CARTON</t>
        </is>
      </c>
      <c r="M193" s="26" t="inlineStr">
        <is>
          <t>FULLBOX_CARTON</t>
        </is>
      </c>
      <c r="N193" s="25" t="inlineStr">
        <is>
          <t>N</t>
        </is>
      </c>
      <c r="O193" s="22" t="n"/>
      <c r="P193" s="26" t="inlineStr">
        <is>
          <t>REMAINDER_TO_REPACK</t>
        </is>
      </c>
      <c r="Q193" s="25" t="inlineStr">
        <is>
          <t>OK</t>
        </is>
      </c>
      <c r="R193" s="26" t="inlineStr">
        <is>
          <t>완박스를 표준박스로 매핑하지 않고 자체 출고 카톤으로 사용</t>
        </is>
      </c>
      <c r="S193" s="22" t="inlineStr">
        <is>
          <t>FBX098</t>
        </is>
      </c>
      <c r="T193" s="22" t="inlineStr">
        <is>
          <t>완박스 63x43x27.5</t>
        </is>
      </c>
      <c r="U193" s="27" t="inlineStr">
        <is>
          <t>Y</t>
        </is>
      </c>
      <c r="V193" s="22" t="inlineStr">
        <is>
          <t>FBG035</t>
        </is>
      </c>
    </row>
    <row r="194">
      <c r="A194" s="22" t="inlineStr">
        <is>
          <t>B100510</t>
        </is>
      </c>
      <c r="B194" s="22" t="inlineStr">
        <is>
          <t>리즈톡스100u</t>
        </is>
      </c>
      <c r="C194" s="23" t="n">
        <v>130</v>
      </c>
      <c r="D194" s="23" t="n">
        <v>30</v>
      </c>
      <c r="E194" s="23" t="n">
        <v>30</v>
      </c>
      <c r="F194" s="23" t="n">
        <v>24</v>
      </c>
      <c r="G194" s="23" t="n">
        <v>3.76</v>
      </c>
      <c r="H194" s="24" t="n">
        <v>1</v>
      </c>
      <c r="I194" s="25" t="inlineStr">
        <is>
          <t>Y</t>
        </is>
      </c>
      <c r="J194" s="26" t="inlineStr">
        <is>
          <t>완박스 정보.xlsx</t>
        </is>
      </c>
      <c r="K194" s="22" t="inlineStr">
        <is>
          <t>FBX099</t>
        </is>
      </c>
      <c r="L194" s="26" t="inlineStr">
        <is>
          <t>OWN_CARTON</t>
        </is>
      </c>
      <c r="M194" s="26" t="inlineStr">
        <is>
          <t>FULLBOX_CARTON</t>
        </is>
      </c>
      <c r="N194" s="25" t="inlineStr">
        <is>
          <t>N</t>
        </is>
      </c>
      <c r="O194" s="22" t="n"/>
      <c r="P194" s="26" t="inlineStr">
        <is>
          <t>REMAINDER_TO_REPACK</t>
        </is>
      </c>
      <c r="Q194" s="25" t="inlineStr">
        <is>
          <t>OK</t>
        </is>
      </c>
      <c r="R194" s="26" t="inlineStr">
        <is>
          <t>완박스를 표준박스로 매핑하지 않고 자체 출고 카톤으로 사용</t>
        </is>
      </c>
      <c r="S194" s="22" t="inlineStr">
        <is>
          <t>FBX099</t>
        </is>
      </c>
      <c r="T194" s="22" t="inlineStr">
        <is>
          <t>완박스 30x30x24</t>
        </is>
      </c>
      <c r="U194" s="27" t="inlineStr">
        <is>
          <t>Y</t>
        </is>
      </c>
      <c r="V194" s="22" t="inlineStr">
        <is>
          <t>FBG100</t>
        </is>
      </c>
    </row>
    <row r="195">
      <c r="A195" s="22" t="inlineStr">
        <is>
          <t>B100520</t>
        </is>
      </c>
      <c r="B195" s="22" t="inlineStr">
        <is>
          <t>리즈톡스200u</t>
        </is>
      </c>
      <c r="C195" s="23" t="n">
        <v>130</v>
      </c>
      <c r="D195" s="23" t="n">
        <v>30</v>
      </c>
      <c r="E195" s="23" t="n">
        <v>30</v>
      </c>
      <c r="F195" s="23" t="n">
        <v>24</v>
      </c>
      <c r="G195" s="23" t="n">
        <v>3.66</v>
      </c>
      <c r="H195" s="24" t="n">
        <v>1</v>
      </c>
      <c r="I195" s="25" t="inlineStr">
        <is>
          <t>Y</t>
        </is>
      </c>
      <c r="J195" s="26" t="inlineStr">
        <is>
          <t>완박스 정보.xlsx</t>
        </is>
      </c>
      <c r="K195" s="22" t="inlineStr">
        <is>
          <t>FBX100</t>
        </is>
      </c>
      <c r="L195" s="26" t="inlineStr">
        <is>
          <t>OWN_CARTON</t>
        </is>
      </c>
      <c r="M195" s="26" t="inlineStr">
        <is>
          <t>FULLBOX_CARTON</t>
        </is>
      </c>
      <c r="N195" s="25" t="inlineStr">
        <is>
          <t>N</t>
        </is>
      </c>
      <c r="O195" s="22" t="n"/>
      <c r="P195" s="26" t="inlineStr">
        <is>
          <t>REMAINDER_TO_REPACK</t>
        </is>
      </c>
      <c r="Q195" s="25" t="inlineStr">
        <is>
          <t>OK</t>
        </is>
      </c>
      <c r="R195" s="26" t="inlineStr">
        <is>
          <t>완박스를 표준박스로 매핑하지 않고 자체 출고 카톤으로 사용</t>
        </is>
      </c>
      <c r="S195" s="22" t="inlineStr">
        <is>
          <t>FBX100</t>
        </is>
      </c>
      <c r="T195" s="22" t="inlineStr">
        <is>
          <t>완박스 30x30x24</t>
        </is>
      </c>
      <c r="U195" s="27" t="inlineStr">
        <is>
          <t>Y</t>
        </is>
      </c>
      <c r="V195" s="22" t="inlineStr">
        <is>
          <t>FBG100</t>
        </is>
      </c>
    </row>
    <row r="196">
      <c r="A196" s="22" t="inlineStr">
        <is>
          <t>A200401</t>
        </is>
      </c>
      <c r="B196" s="22" t="inlineStr">
        <is>
          <t>리체스 미드</t>
        </is>
      </c>
      <c r="C196" s="23" t="n">
        <v>100</v>
      </c>
      <c r="D196" s="23" t="n">
        <v>46</v>
      </c>
      <c r="E196" s="23" t="n">
        <v>37</v>
      </c>
      <c r="F196" s="23" t="n">
        <v>32</v>
      </c>
      <c r="G196" s="23" t="n">
        <v>6.2</v>
      </c>
      <c r="H196" s="24" t="n">
        <v>1</v>
      </c>
      <c r="I196" s="25" t="inlineStr">
        <is>
          <t>Y</t>
        </is>
      </c>
      <c r="J196" s="26" t="inlineStr">
        <is>
          <t>완박스 정보.xlsx</t>
        </is>
      </c>
      <c r="K196" s="22" t="inlineStr">
        <is>
          <t>FBX043</t>
        </is>
      </c>
      <c r="L196" s="26" t="inlineStr">
        <is>
          <t>OWN_CARTON</t>
        </is>
      </c>
      <c r="M196" s="26" t="inlineStr">
        <is>
          <t>FULLBOX_CARTON</t>
        </is>
      </c>
      <c r="N196" s="25" t="inlineStr">
        <is>
          <t>N</t>
        </is>
      </c>
      <c r="O196" s="22" t="n"/>
      <c r="P196" s="26" t="inlineStr">
        <is>
          <t>REMAINDER_TO_REPACK</t>
        </is>
      </c>
      <c r="Q196" s="25" t="inlineStr">
        <is>
          <t>OK</t>
        </is>
      </c>
      <c r="R196" s="26" t="inlineStr">
        <is>
          <t>완박스를 표준박스로 매핑하지 않고 자체 출고 카톤으로 사용</t>
        </is>
      </c>
      <c r="S196" s="22" t="inlineStr">
        <is>
          <t>FBX043</t>
        </is>
      </c>
      <c r="T196" s="22" t="inlineStr">
        <is>
          <t>완박스 46x37x32</t>
        </is>
      </c>
      <c r="U196" s="27" t="inlineStr">
        <is>
          <t>Y</t>
        </is>
      </c>
      <c r="V196" s="22" t="inlineStr">
        <is>
          <t>FBG023</t>
        </is>
      </c>
    </row>
    <row r="197">
      <c r="A197" s="22" t="inlineStr">
        <is>
          <t>A301035</t>
        </is>
      </c>
      <c r="B197" s="22" t="inlineStr">
        <is>
          <t>리체스 트리니티90</t>
        </is>
      </c>
      <c r="C197" s="23" t="n">
        <v>36</v>
      </c>
      <c r="D197" s="23" t="n">
        <v>45</v>
      </c>
      <c r="E197" s="23" t="n">
        <v>37</v>
      </c>
      <c r="F197" s="23" t="n">
        <v>32</v>
      </c>
      <c r="G197" s="23" t="n">
        <v>9.800000000000001</v>
      </c>
      <c r="H197" s="24" t="n">
        <v>1</v>
      </c>
      <c r="I197" s="25" t="inlineStr">
        <is>
          <t>Y</t>
        </is>
      </c>
      <c r="J197" s="26" t="inlineStr">
        <is>
          <t>완박스 정보.xlsx</t>
        </is>
      </c>
      <c r="K197" s="22" t="inlineStr">
        <is>
          <t>FBX102</t>
        </is>
      </c>
      <c r="L197" s="26" t="inlineStr">
        <is>
          <t>OWN_CARTON</t>
        </is>
      </c>
      <c r="M197" s="26" t="inlineStr">
        <is>
          <t>FULLBOX_CARTON</t>
        </is>
      </c>
      <c r="N197" s="25" t="inlineStr">
        <is>
          <t>N</t>
        </is>
      </c>
      <c r="O197" s="22" t="n"/>
      <c r="P197" s="26" t="inlineStr">
        <is>
          <t>REMAINDER_TO_REPACK</t>
        </is>
      </c>
      <c r="Q197" s="25" t="inlineStr">
        <is>
          <t>OK</t>
        </is>
      </c>
      <c r="R197" s="26" t="inlineStr">
        <is>
          <t>완박스를 표준박스로 매핑하지 않고 자체 출고 카톤으로 사용</t>
        </is>
      </c>
      <c r="S197" s="22" t="inlineStr">
        <is>
          <t>FBX102</t>
        </is>
      </c>
      <c r="T197" s="22" t="inlineStr">
        <is>
          <t>완박스 45x37x32</t>
        </is>
      </c>
      <c r="U197" s="27" t="inlineStr">
        <is>
          <t>Y</t>
        </is>
      </c>
      <c r="V197" s="22" t="inlineStr">
        <is>
          <t>FBG023</t>
        </is>
      </c>
    </row>
    <row r="198">
      <c r="A198" s="22" t="inlineStr">
        <is>
          <t>A301036</t>
        </is>
      </c>
      <c r="B198" s="22" t="inlineStr">
        <is>
          <t>리체스 트리니티90 with RH</t>
        </is>
      </c>
      <c r="C198" s="23" t="n">
        <v>36</v>
      </c>
      <c r="D198" s="23" t="n">
        <v>45</v>
      </c>
      <c r="E198" s="23" t="n">
        <v>37</v>
      </c>
      <c r="F198" s="23" t="n">
        <v>32</v>
      </c>
      <c r="G198" s="23" t="n">
        <v>9.800000000000001</v>
      </c>
      <c r="H198" s="24" t="n">
        <v>1</v>
      </c>
      <c r="I198" s="25" t="inlineStr">
        <is>
          <t>Y</t>
        </is>
      </c>
      <c r="J198" s="26" t="inlineStr">
        <is>
          <t>완박스 정보.xlsx</t>
        </is>
      </c>
      <c r="K198" s="22" t="inlineStr">
        <is>
          <t>FBX102</t>
        </is>
      </c>
      <c r="L198" s="26" t="inlineStr">
        <is>
          <t>OWN_CARTON</t>
        </is>
      </c>
      <c r="M198" s="26" t="inlineStr">
        <is>
          <t>FULLBOX_CARTON</t>
        </is>
      </c>
      <c r="N198" s="25" t="inlineStr">
        <is>
          <t>N</t>
        </is>
      </c>
      <c r="O198" s="22" t="n"/>
      <c r="P198" s="26" t="inlineStr">
        <is>
          <t>REMAINDER_TO_REPACK</t>
        </is>
      </c>
      <c r="Q198" s="25" t="inlineStr">
        <is>
          <t>OK</t>
        </is>
      </c>
      <c r="R198" s="26" t="inlineStr">
        <is>
          <t>완박스를 표준박스로 매핑하지 않고 자체 출고 카톤으로 사용</t>
        </is>
      </c>
      <c r="S198" s="22" t="inlineStr">
        <is>
          <t>FBX102</t>
        </is>
      </c>
      <c r="T198" s="22" t="inlineStr">
        <is>
          <t>완박스 45x37x32</t>
        </is>
      </c>
      <c r="U198" s="27" t="inlineStr">
        <is>
          <t>Y</t>
        </is>
      </c>
      <c r="V198" s="22" t="inlineStr">
        <is>
          <t>FBG023</t>
        </is>
      </c>
    </row>
    <row r="199">
      <c r="A199" s="22" t="inlineStr">
        <is>
          <t>A200400</t>
        </is>
      </c>
      <c r="B199" s="22" t="inlineStr">
        <is>
          <t>리체스 프로</t>
        </is>
      </c>
      <c r="C199" s="23" t="n">
        <v>100</v>
      </c>
      <c r="D199" s="23" t="n">
        <v>46</v>
      </c>
      <c r="E199" s="23" t="n">
        <v>37</v>
      </c>
      <c r="F199" s="23" t="n">
        <v>32</v>
      </c>
      <c r="G199" s="23" t="n">
        <v>6.2</v>
      </c>
      <c r="H199" s="24" t="n">
        <v>1</v>
      </c>
      <c r="I199" s="25" t="inlineStr">
        <is>
          <t>Y</t>
        </is>
      </c>
      <c r="J199" s="26" t="inlineStr">
        <is>
          <t>완박스 정보.xlsx</t>
        </is>
      </c>
      <c r="K199" s="22" t="inlineStr">
        <is>
          <t>FBX043</t>
        </is>
      </c>
      <c r="L199" s="26" t="inlineStr">
        <is>
          <t>OWN_CARTON</t>
        </is>
      </c>
      <c r="M199" s="26" t="inlineStr">
        <is>
          <t>FULLBOX_CARTON</t>
        </is>
      </c>
      <c r="N199" s="25" t="inlineStr">
        <is>
          <t>N</t>
        </is>
      </c>
      <c r="O199" s="22" t="n"/>
      <c r="P199" s="26" t="inlineStr">
        <is>
          <t>REMAINDER_TO_REPACK</t>
        </is>
      </c>
      <c r="Q199" s="25" t="inlineStr">
        <is>
          <t>OK</t>
        </is>
      </c>
      <c r="R199" s="26" t="inlineStr">
        <is>
          <t>완박스를 표준박스로 매핑하지 않고 자체 출고 카톤으로 사용</t>
        </is>
      </c>
      <c r="S199" s="22" t="inlineStr">
        <is>
          <t>FBX043</t>
        </is>
      </c>
      <c r="T199" s="22" t="inlineStr">
        <is>
          <t>완박스 46x37x32</t>
        </is>
      </c>
      <c r="U199" s="27" t="inlineStr">
        <is>
          <t>Y</t>
        </is>
      </c>
      <c r="V199" s="22" t="inlineStr">
        <is>
          <t>FBG023</t>
        </is>
      </c>
    </row>
    <row r="200">
      <c r="A200" s="26" t="inlineStr">
        <is>
          <t>A301020</t>
        </is>
      </c>
      <c r="B200" s="26" t="inlineStr">
        <is>
          <t>리체스 콜라필로</t>
        </is>
      </c>
      <c r="C200" s="24" t="n">
        <v>100</v>
      </c>
      <c r="D200" s="24" t="n">
        <v>43</v>
      </c>
      <c r="E200" s="24" t="n">
        <v>37</v>
      </c>
      <c r="F200" s="24" t="n">
        <v>29</v>
      </c>
      <c r="G200" s="60" t="n">
        <v>5.5</v>
      </c>
      <c r="H200" s="24" t="n">
        <v>1</v>
      </c>
      <c r="I200" s="25" t="inlineStr">
        <is>
          <t>Y</t>
        </is>
      </c>
      <c r="J200" s="26" t="inlineStr">
        <is>
          <t>완박스 정보.xlsx</t>
        </is>
      </c>
      <c r="K200" s="26" t="inlineStr">
        <is>
          <t>FBX026</t>
        </is>
      </c>
      <c r="L200" s="26" t="inlineStr">
        <is>
          <t>OWN_CARTON</t>
        </is>
      </c>
      <c r="M200" s="26" t="inlineStr">
        <is>
          <t>FULLBOX_CARTON</t>
        </is>
      </c>
      <c r="N200" s="25" t="inlineStr">
        <is>
          <t>N</t>
        </is>
      </c>
      <c r="O200" s="26" t="n"/>
      <c r="P200" s="26" t="inlineStr">
        <is>
          <t>REMAINDER_TO_REPACK</t>
        </is>
      </c>
      <c r="Q200" s="25" t="inlineStr">
        <is>
          <t>OK</t>
        </is>
      </c>
      <c r="R200" s="26" t="inlineStr">
        <is>
          <t>완박스를 표준박스로 매핑하지 않고 자체 출고 카톤으로 사용</t>
        </is>
      </c>
      <c r="S200" s="27" t="inlineStr">
        <is>
          <t>FBX026</t>
        </is>
      </c>
      <c r="T200" s="27" t="inlineStr">
        <is>
          <t>완박스 43x37x29</t>
        </is>
      </c>
      <c r="U200" s="27" t="inlineStr">
        <is>
          <t>Y</t>
        </is>
      </c>
      <c r="V200" s="27" t="inlineStr">
        <is>
          <t>FBG013</t>
        </is>
      </c>
    </row>
    <row r="201">
      <c r="A201" s="26" t="inlineStr">
        <is>
          <t>A301030</t>
        </is>
      </c>
      <c r="B201" s="26" t="inlineStr">
        <is>
          <t>리체스 콜라필로 (COS)</t>
        </is>
      </c>
      <c r="C201" s="24" t="n">
        <v>100</v>
      </c>
      <c r="D201" s="24" t="n">
        <v>43</v>
      </c>
      <c r="E201" s="24" t="n">
        <v>37</v>
      </c>
      <c r="F201" s="24" t="n">
        <v>29</v>
      </c>
      <c r="G201" s="60" t="n">
        <v>5.5</v>
      </c>
      <c r="H201" s="24" t="n">
        <v>1</v>
      </c>
      <c r="I201" s="25" t="inlineStr">
        <is>
          <t>Y</t>
        </is>
      </c>
      <c r="J201" s="26" t="inlineStr">
        <is>
          <t>완박스 정보.xlsx</t>
        </is>
      </c>
      <c r="K201" s="26" t="inlineStr">
        <is>
          <t>FBX026</t>
        </is>
      </c>
      <c r="L201" s="26" t="inlineStr">
        <is>
          <t>OWN_CARTON</t>
        </is>
      </c>
      <c r="M201" s="26" t="inlineStr">
        <is>
          <t>FULLBOX_CARTON</t>
        </is>
      </c>
      <c r="N201" s="25" t="inlineStr">
        <is>
          <t>N</t>
        </is>
      </c>
      <c r="O201" s="26" t="n"/>
      <c r="P201" s="26" t="inlineStr">
        <is>
          <t>REMAINDER_TO_REPACK</t>
        </is>
      </c>
      <c r="Q201" s="25" t="inlineStr">
        <is>
          <t>OK</t>
        </is>
      </c>
      <c r="R201" s="26" t="inlineStr">
        <is>
          <t>완박스를 표준박스로 매핑하지 않고 자체 출고 카톤으로 사용</t>
        </is>
      </c>
      <c r="S201" s="27" t="inlineStr">
        <is>
          <t>FBX026</t>
        </is>
      </c>
      <c r="T201" s="27" t="inlineStr">
        <is>
          <t>완박스 43x37x29</t>
        </is>
      </c>
      <c r="U201" s="27" t="inlineStr">
        <is>
          <t>Y</t>
        </is>
      </c>
      <c r="V201" s="27" t="inlineStr">
        <is>
          <t>FBG013</t>
        </is>
      </c>
    </row>
    <row r="202" ht="30" customHeight="1" s="42">
      <c r="A202" s="26" t="inlineStr">
        <is>
          <t>A200515</t>
        </is>
      </c>
      <c r="B202" s="26" t="inlineStr">
        <is>
          <t>리체스 레드 볼륨 no.7</t>
        </is>
      </c>
      <c r="C202" s="24" t="n">
        <v>100</v>
      </c>
      <c r="D202" s="60" t="n">
        <v>39.5</v>
      </c>
      <c r="E202" s="60" t="n">
        <v>36.5</v>
      </c>
      <c r="F202" s="60" t="n">
        <v>24.5</v>
      </c>
      <c r="G202" s="60" t="n">
        <v>4.5</v>
      </c>
      <c r="H202" s="24" t="n">
        <v>1</v>
      </c>
      <c r="I202" s="25" t="inlineStr">
        <is>
          <t>Y</t>
        </is>
      </c>
      <c r="J202" s="26" t="inlineStr">
        <is>
          <t>완박스 정보.xlsx</t>
        </is>
      </c>
      <c r="K202" s="26" t="inlineStr">
        <is>
          <t>FBX013</t>
        </is>
      </c>
      <c r="L202" s="26" t="inlineStr">
        <is>
          <t>OWN_CARTON</t>
        </is>
      </c>
      <c r="M202" s="26" t="inlineStr">
        <is>
          <t>FULLBOX_CARTON</t>
        </is>
      </c>
      <c r="N202" s="25" t="inlineStr">
        <is>
          <t>N</t>
        </is>
      </c>
      <c r="O202" s="26" t="n"/>
      <c r="P202" s="26" t="inlineStr">
        <is>
          <t>REMAINDER_TO_REPACK</t>
        </is>
      </c>
      <c r="Q202" s="25" t="inlineStr">
        <is>
          <t>OK</t>
        </is>
      </c>
      <c r="R202" s="26" t="inlineStr">
        <is>
          <t>완박스를 표준박스로 매핑하지 않고 자체 출고 카톤으로 사용</t>
        </is>
      </c>
      <c r="S202" s="27" t="inlineStr">
        <is>
          <t>FBX013</t>
        </is>
      </c>
      <c r="T202" s="27" t="inlineStr">
        <is>
          <t>완박스 39.5x36.5x24.5</t>
        </is>
      </c>
      <c r="U202" s="27" t="inlineStr">
        <is>
          <t>Y</t>
        </is>
      </c>
      <c r="V202" s="27" t="inlineStr">
        <is>
          <t>FBG006</t>
        </is>
      </c>
    </row>
    <row r="203" ht="30" customHeight="1" s="42">
      <c r="A203" s="26" t="inlineStr">
        <is>
          <t>A200517</t>
        </is>
      </c>
      <c r="B203" s="26" t="inlineStr">
        <is>
          <t>리체스 레드 볼륨 no.9</t>
        </is>
      </c>
      <c r="C203" s="24" t="n">
        <v>100</v>
      </c>
      <c r="D203" s="60" t="n">
        <v>39.5</v>
      </c>
      <c r="E203" s="60" t="n">
        <v>36.5</v>
      </c>
      <c r="F203" s="60" t="n">
        <v>24.5</v>
      </c>
      <c r="G203" s="60" t="n">
        <v>4.5</v>
      </c>
      <c r="H203" s="24" t="n">
        <v>1</v>
      </c>
      <c r="I203" s="25" t="inlineStr">
        <is>
          <t>Y</t>
        </is>
      </c>
      <c r="J203" s="26" t="inlineStr">
        <is>
          <t>완박스 정보.xlsx</t>
        </is>
      </c>
      <c r="K203" s="26" t="inlineStr">
        <is>
          <t>FBX013</t>
        </is>
      </c>
      <c r="L203" s="26" t="inlineStr">
        <is>
          <t>OWN_CARTON</t>
        </is>
      </c>
      <c r="M203" s="26" t="inlineStr">
        <is>
          <t>FULLBOX_CARTON</t>
        </is>
      </c>
      <c r="N203" s="25" t="inlineStr">
        <is>
          <t>N</t>
        </is>
      </c>
      <c r="O203" s="26" t="n"/>
      <c r="P203" s="26" t="inlineStr">
        <is>
          <t>REMAINDER_TO_REPACK</t>
        </is>
      </c>
      <c r="Q203" s="25" t="inlineStr">
        <is>
          <t>OK</t>
        </is>
      </c>
      <c r="R203" s="26" t="inlineStr">
        <is>
          <t>완박스를 표준박스로 매핑하지 않고 자체 출고 카톤으로 사용</t>
        </is>
      </c>
      <c r="S203" s="27" t="inlineStr">
        <is>
          <t>FBX013</t>
        </is>
      </c>
      <c r="T203" s="27" t="inlineStr">
        <is>
          <t>완박스 39.5x36.5x24.5</t>
        </is>
      </c>
      <c r="U203" s="27" t="inlineStr">
        <is>
          <t>Y</t>
        </is>
      </c>
      <c r="V203" s="27" t="inlineStr">
        <is>
          <t>FBG006</t>
        </is>
      </c>
    </row>
    <row r="204">
      <c r="A204" s="22" t="inlineStr">
        <is>
          <t>B202520</t>
        </is>
      </c>
      <c r="B204" s="22" t="inlineStr">
        <is>
          <t>미라인 딥</t>
        </is>
      </c>
      <c r="C204" s="23" t="n">
        <v>100</v>
      </c>
      <c r="D204" s="23" t="n">
        <v>40</v>
      </c>
      <c r="E204" s="23" t="n">
        <v>31</v>
      </c>
      <c r="F204" s="23" t="n">
        <v>39</v>
      </c>
      <c r="G204" s="23" t="n">
        <v>5.65</v>
      </c>
      <c r="H204" s="24" t="n">
        <v>1</v>
      </c>
      <c r="I204" s="25" t="inlineStr">
        <is>
          <t>Y</t>
        </is>
      </c>
      <c r="J204" s="26" t="inlineStr">
        <is>
          <t>완박스 정보.xlsx</t>
        </is>
      </c>
      <c r="K204" s="22" t="inlineStr">
        <is>
          <t>FBX103</t>
        </is>
      </c>
      <c r="L204" s="26" t="inlineStr">
        <is>
          <t>OWN_CARTON</t>
        </is>
      </c>
      <c r="M204" s="26" t="inlineStr">
        <is>
          <t>FULLBOX_CARTON</t>
        </is>
      </c>
      <c r="N204" s="25" t="inlineStr">
        <is>
          <t>N</t>
        </is>
      </c>
      <c r="O204" s="22" t="n"/>
      <c r="P204" s="26" t="inlineStr">
        <is>
          <t>REMAINDER_TO_REPACK</t>
        </is>
      </c>
      <c r="Q204" s="25" t="inlineStr">
        <is>
          <t>OK</t>
        </is>
      </c>
      <c r="R204" s="26" t="inlineStr">
        <is>
          <t>완박스를 표준박스로 매핑하지 않고 자체 출고 카톤으로 사용</t>
        </is>
      </c>
      <c r="S204" s="22" t="inlineStr">
        <is>
          <t>FBX103</t>
        </is>
      </c>
      <c r="T204" s="22" t="inlineStr">
        <is>
          <t>완박스 40x31x39</t>
        </is>
      </c>
      <c r="U204" s="27" t="inlineStr">
        <is>
          <t>Y</t>
        </is>
      </c>
      <c r="V204" s="22" t="inlineStr">
        <is>
          <t>FBG009</t>
        </is>
      </c>
    </row>
    <row r="205">
      <c r="A205" s="22" t="inlineStr">
        <is>
          <t>B202510</t>
        </is>
      </c>
      <c r="B205" s="22" t="inlineStr">
        <is>
          <t>미라인 볼륨</t>
        </is>
      </c>
      <c r="C205" s="23" t="n">
        <v>100</v>
      </c>
      <c r="D205" s="23" t="n">
        <v>40</v>
      </c>
      <c r="E205" s="23" t="n">
        <v>31</v>
      </c>
      <c r="F205" s="23" t="n">
        <v>39</v>
      </c>
      <c r="G205" s="23" t="n">
        <v>5.65</v>
      </c>
      <c r="H205" s="24" t="n">
        <v>1</v>
      </c>
      <c r="I205" s="25" t="inlineStr">
        <is>
          <t>Y</t>
        </is>
      </c>
      <c r="J205" s="26" t="inlineStr">
        <is>
          <t>완박스 정보.xlsx</t>
        </is>
      </c>
      <c r="K205" s="22" t="inlineStr">
        <is>
          <t>FBX103</t>
        </is>
      </c>
      <c r="L205" s="26" t="inlineStr">
        <is>
          <t>OWN_CARTON</t>
        </is>
      </c>
      <c r="M205" s="26" t="inlineStr">
        <is>
          <t>FULLBOX_CARTON</t>
        </is>
      </c>
      <c r="N205" s="25" t="inlineStr">
        <is>
          <t>N</t>
        </is>
      </c>
      <c r="O205" s="22" t="n"/>
      <c r="P205" s="26" t="inlineStr">
        <is>
          <t>REMAINDER_TO_REPACK</t>
        </is>
      </c>
      <c r="Q205" s="25" t="inlineStr">
        <is>
          <t>OK</t>
        </is>
      </c>
      <c r="R205" s="26" t="inlineStr">
        <is>
          <t>완박스를 표준박스로 매핑하지 않고 자체 출고 카톤으로 사용</t>
        </is>
      </c>
      <c r="S205" s="22" t="inlineStr">
        <is>
          <t>FBX103</t>
        </is>
      </c>
      <c r="T205" s="22" t="inlineStr">
        <is>
          <t>완박스 40x31x39</t>
        </is>
      </c>
      <c r="U205" s="27" t="inlineStr">
        <is>
          <t>Y</t>
        </is>
      </c>
      <c r="V205" s="22" t="inlineStr">
        <is>
          <t>FBG009</t>
        </is>
      </c>
    </row>
    <row r="206">
      <c r="A206" s="22" t="inlineStr">
        <is>
          <t>B202530</t>
        </is>
      </c>
      <c r="B206" s="22" t="inlineStr">
        <is>
          <t>미라인 클래식</t>
        </is>
      </c>
      <c r="C206" s="23" t="n">
        <v>100</v>
      </c>
      <c r="D206" s="23" t="n">
        <v>40</v>
      </c>
      <c r="E206" s="23" t="n">
        <v>31</v>
      </c>
      <c r="F206" s="23" t="n">
        <v>39</v>
      </c>
      <c r="G206" s="23" t="n">
        <v>5.65</v>
      </c>
      <c r="H206" s="24" t="n">
        <v>1</v>
      </c>
      <c r="I206" s="25" t="inlineStr">
        <is>
          <t>Y</t>
        </is>
      </c>
      <c r="J206" s="26" t="inlineStr">
        <is>
          <t>완박스 정보.xlsx</t>
        </is>
      </c>
      <c r="K206" s="22" t="inlineStr">
        <is>
          <t>FBX103</t>
        </is>
      </c>
      <c r="L206" s="26" t="inlineStr">
        <is>
          <t>OWN_CARTON</t>
        </is>
      </c>
      <c r="M206" s="26" t="inlineStr">
        <is>
          <t>FULLBOX_CARTON</t>
        </is>
      </c>
      <c r="N206" s="25" t="inlineStr">
        <is>
          <t>N</t>
        </is>
      </c>
      <c r="O206" s="22" t="n"/>
      <c r="P206" s="26" t="inlineStr">
        <is>
          <t>REMAINDER_TO_REPACK</t>
        </is>
      </c>
      <c r="Q206" s="25" t="inlineStr">
        <is>
          <t>OK</t>
        </is>
      </c>
      <c r="R206" s="26" t="inlineStr">
        <is>
          <t>완박스를 표준박스로 매핑하지 않고 자체 출고 카톤으로 사용</t>
        </is>
      </c>
      <c r="S206" s="22" t="inlineStr">
        <is>
          <t>FBX103</t>
        </is>
      </c>
      <c r="T206" s="22" t="inlineStr">
        <is>
          <t>완박스 40x31x39</t>
        </is>
      </c>
      <c r="U206" s="27" t="inlineStr">
        <is>
          <t>Y</t>
        </is>
      </c>
      <c r="V206" s="22" t="inlineStr">
        <is>
          <t>FBG009</t>
        </is>
      </c>
    </row>
    <row r="207">
      <c r="A207" s="22" t="inlineStr">
        <is>
          <t>B202640</t>
        </is>
      </c>
      <c r="B207" s="22" t="inlineStr">
        <is>
          <t>미스필 라이트 리도</t>
        </is>
      </c>
      <c r="C207" s="23" t="n">
        <v>100</v>
      </c>
      <c r="D207" s="23" t="n">
        <v>40</v>
      </c>
      <c r="E207" s="23" t="n">
        <v>38.5</v>
      </c>
      <c r="F207" s="23" t="n">
        <v>33</v>
      </c>
      <c r="G207" s="23" t="n">
        <v>5.8</v>
      </c>
      <c r="H207" s="24" t="n">
        <v>1</v>
      </c>
      <c r="I207" s="25" t="inlineStr">
        <is>
          <t>Y</t>
        </is>
      </c>
      <c r="J207" s="26" t="inlineStr">
        <is>
          <t>완박스 정보.xlsx</t>
        </is>
      </c>
      <c r="K207" s="22" t="inlineStr">
        <is>
          <t>FBX104</t>
        </is>
      </c>
      <c r="L207" s="26" t="inlineStr">
        <is>
          <t>OWN_CARTON</t>
        </is>
      </c>
      <c r="M207" s="26" t="inlineStr">
        <is>
          <t>FULLBOX_CARTON</t>
        </is>
      </c>
      <c r="N207" s="25" t="inlineStr">
        <is>
          <t>N</t>
        </is>
      </c>
      <c r="O207" s="22" t="n"/>
      <c r="P207" s="26" t="inlineStr">
        <is>
          <t>REMAINDER_TO_REPACK</t>
        </is>
      </c>
      <c r="Q207" s="25" t="inlineStr">
        <is>
          <t>OK</t>
        </is>
      </c>
      <c r="R207" s="26" t="inlineStr">
        <is>
          <t>완박스를 표준박스로 매핑하지 않고 자체 출고 카톤으로 사용</t>
        </is>
      </c>
      <c r="S207" s="22" t="inlineStr">
        <is>
          <t>FBX104</t>
        </is>
      </c>
      <c r="T207" s="22" t="inlineStr">
        <is>
          <t>완박스 40x38.5x33</t>
        </is>
      </c>
      <c r="U207" s="27" t="inlineStr">
        <is>
          <t>Y</t>
        </is>
      </c>
      <c r="V207" s="22" t="inlineStr">
        <is>
          <t>FBG102</t>
        </is>
      </c>
    </row>
    <row r="208">
      <c r="A208" s="22" t="inlineStr">
        <is>
          <t>B303620</t>
        </is>
      </c>
      <c r="B208" s="22" t="inlineStr">
        <is>
          <t>미스필 에프앤비</t>
        </is>
      </c>
      <c r="C208" s="23" t="n">
        <v>50</v>
      </c>
      <c r="D208" s="23" t="n">
        <v>57</v>
      </c>
      <c r="E208" s="23" t="n">
        <v>27</v>
      </c>
      <c r="F208" s="23" t="n">
        <v>15.5</v>
      </c>
      <c r="G208" s="23" t="n">
        <v>8.550000000000001</v>
      </c>
      <c r="H208" s="24" t="n">
        <v>1</v>
      </c>
      <c r="I208" s="25" t="inlineStr">
        <is>
          <t>Y</t>
        </is>
      </c>
      <c r="J208" s="26" t="inlineStr">
        <is>
          <t>완박스 정보.xlsx</t>
        </is>
      </c>
      <c r="K208" s="22" t="inlineStr">
        <is>
          <t>FBX105</t>
        </is>
      </c>
      <c r="L208" s="26" t="inlineStr">
        <is>
          <t>OWN_CARTON</t>
        </is>
      </c>
      <c r="M208" s="26" t="inlineStr">
        <is>
          <t>FULLBOX_CARTON</t>
        </is>
      </c>
      <c r="N208" s="25" t="inlineStr">
        <is>
          <t>N</t>
        </is>
      </c>
      <c r="O208" s="22" t="n"/>
      <c r="P208" s="26" t="inlineStr">
        <is>
          <t>REMAINDER_TO_REPACK</t>
        </is>
      </c>
      <c r="Q208" s="25" t="inlineStr">
        <is>
          <t>OK</t>
        </is>
      </c>
      <c r="R208" s="26" t="inlineStr">
        <is>
          <t>완박스를 표준박스로 매핑하지 않고 자체 출고 카톤으로 사용</t>
        </is>
      </c>
      <c r="S208" s="22" t="inlineStr">
        <is>
          <t>FBX105</t>
        </is>
      </c>
      <c r="T208" s="22" t="inlineStr">
        <is>
          <t>완박스 57x27x15.5</t>
        </is>
      </c>
      <c r="U208" s="27" t="inlineStr">
        <is>
          <t>Y</t>
        </is>
      </c>
      <c r="V208" s="22" t="inlineStr">
        <is>
          <t>FBG083</t>
        </is>
      </c>
    </row>
    <row r="209">
      <c r="A209" s="22" t="inlineStr">
        <is>
          <t>B303630</t>
        </is>
      </c>
      <c r="B209" s="22" t="inlineStr">
        <is>
          <t>미스필 플러스 PDRN</t>
        </is>
      </c>
      <c r="C209" s="23" t="n">
        <v>50</v>
      </c>
      <c r="D209" s="23" t="n">
        <v>42.5</v>
      </c>
      <c r="E209" s="23" t="n">
        <v>42</v>
      </c>
      <c r="F209" s="23" t="n">
        <v>38</v>
      </c>
      <c r="G209" s="23" t="n">
        <v>7.5</v>
      </c>
      <c r="H209" s="24" t="n">
        <v>1</v>
      </c>
      <c r="I209" s="25" t="inlineStr">
        <is>
          <t>Y</t>
        </is>
      </c>
      <c r="J209" s="26" t="inlineStr">
        <is>
          <t>완박스 정보.xlsx</t>
        </is>
      </c>
      <c r="K209" s="22" t="inlineStr">
        <is>
          <t>FBX106</t>
        </is>
      </c>
      <c r="L209" s="26" t="inlineStr">
        <is>
          <t>OWN_CARTON</t>
        </is>
      </c>
      <c r="M209" s="26" t="inlineStr">
        <is>
          <t>FULLBOX_CARTON</t>
        </is>
      </c>
      <c r="N209" s="25" t="inlineStr">
        <is>
          <t>N</t>
        </is>
      </c>
      <c r="O209" s="22" t="n"/>
      <c r="P209" s="26" t="inlineStr">
        <is>
          <t>REMAINDER_TO_REPACK</t>
        </is>
      </c>
      <c r="Q209" s="25" t="inlineStr">
        <is>
          <t>OK</t>
        </is>
      </c>
      <c r="R209" s="26" t="inlineStr">
        <is>
          <t>완박스를 표준박스로 매핑하지 않고 자체 출고 카톤으로 사용</t>
        </is>
      </c>
      <c r="S209" s="22" t="inlineStr">
        <is>
          <t>FBX106</t>
        </is>
      </c>
      <c r="T209" s="22" t="inlineStr">
        <is>
          <t>완박스 42.5x42x38</t>
        </is>
      </c>
      <c r="U209" s="27" t="inlineStr">
        <is>
          <t>Y</t>
        </is>
      </c>
      <c r="V209" s="22" t="inlineStr">
        <is>
          <t>FBG076</t>
        </is>
      </c>
    </row>
    <row r="210">
      <c r="A210" s="22" t="inlineStr">
        <is>
          <t>B202720</t>
        </is>
      </c>
      <c r="B210" s="22" t="inlineStr">
        <is>
          <t>벨라스트 울트라 L</t>
        </is>
      </c>
      <c r="C210" s="23" t="n">
        <v>93</v>
      </c>
      <c r="D210" s="23" t="n">
        <v>53</v>
      </c>
      <c r="E210" s="23" t="n">
        <v>35</v>
      </c>
      <c r="F210" s="23" t="n">
        <v>30</v>
      </c>
      <c r="G210" s="23" t="n">
        <v>5.12</v>
      </c>
      <c r="H210" s="24" t="n">
        <v>1</v>
      </c>
      <c r="I210" s="25" t="inlineStr">
        <is>
          <t>Y</t>
        </is>
      </c>
      <c r="J210" s="26" t="inlineStr">
        <is>
          <t>완박스 정보.xlsx</t>
        </is>
      </c>
      <c r="K210" s="22" t="inlineStr">
        <is>
          <t>FBX107</t>
        </is>
      </c>
      <c r="L210" s="26" t="inlineStr">
        <is>
          <t>OWN_CARTON</t>
        </is>
      </c>
      <c r="M210" s="26" t="inlineStr">
        <is>
          <t>FULLBOX_CARTON</t>
        </is>
      </c>
      <c r="N210" s="25" t="inlineStr">
        <is>
          <t>N</t>
        </is>
      </c>
      <c r="O210" s="22" t="n"/>
      <c r="P210" s="26" t="inlineStr">
        <is>
          <t>REMAINDER_TO_REPACK</t>
        </is>
      </c>
      <c r="Q210" s="25" t="inlineStr">
        <is>
          <t>OK</t>
        </is>
      </c>
      <c r="R210" s="26" t="inlineStr">
        <is>
          <t>완박스를 표준박스로 매핑하지 않고 자체 출고 카톤으로 사용</t>
        </is>
      </c>
      <c r="S210" s="22" t="inlineStr">
        <is>
          <t>FBX107</t>
        </is>
      </c>
      <c r="T210" s="22" t="inlineStr">
        <is>
          <t>완박스 53x35x30</t>
        </is>
      </c>
      <c r="U210" s="27" t="inlineStr">
        <is>
          <t>Y</t>
        </is>
      </c>
      <c r="V210" s="22" t="inlineStr">
        <is>
          <t>FBG103</t>
        </is>
      </c>
    </row>
    <row r="211">
      <c r="A211" s="22" t="inlineStr">
        <is>
          <t>B202730</t>
        </is>
      </c>
      <c r="B211" s="22" t="inlineStr">
        <is>
          <t>벨라스트 울트라 소프트 L</t>
        </is>
      </c>
      <c r="C211" s="23" t="n">
        <v>93</v>
      </c>
      <c r="D211" s="23" t="n">
        <v>53</v>
      </c>
      <c r="E211" s="23" t="n">
        <v>35</v>
      </c>
      <c r="F211" s="23" t="n">
        <v>30</v>
      </c>
      <c r="G211" s="23" t="n">
        <v>5.12</v>
      </c>
      <c r="H211" s="24" t="n">
        <v>1</v>
      </c>
      <c r="I211" s="25" t="inlineStr">
        <is>
          <t>Y</t>
        </is>
      </c>
      <c r="J211" s="26" t="inlineStr">
        <is>
          <t>완박스 정보.xlsx</t>
        </is>
      </c>
      <c r="K211" s="22" t="inlineStr">
        <is>
          <t>FBX107</t>
        </is>
      </c>
      <c r="L211" s="26" t="inlineStr">
        <is>
          <t>OWN_CARTON</t>
        </is>
      </c>
      <c r="M211" s="26" t="inlineStr">
        <is>
          <t>FULLBOX_CARTON</t>
        </is>
      </c>
      <c r="N211" s="25" t="inlineStr">
        <is>
          <t>N</t>
        </is>
      </c>
      <c r="O211" s="22" t="n"/>
      <c r="P211" s="26" t="inlineStr">
        <is>
          <t>REMAINDER_TO_REPACK</t>
        </is>
      </c>
      <c r="Q211" s="25" t="inlineStr">
        <is>
          <t>OK</t>
        </is>
      </c>
      <c r="R211" s="26" t="inlineStr">
        <is>
          <t>완박스를 표준박스로 매핑하지 않고 자체 출고 카톤으로 사용</t>
        </is>
      </c>
      <c r="S211" s="22" t="inlineStr">
        <is>
          <t>FBX107</t>
        </is>
      </c>
      <c r="T211" s="22" t="inlineStr">
        <is>
          <t>완박스 53x35x30</t>
        </is>
      </c>
      <c r="U211" s="27" t="inlineStr">
        <is>
          <t>Y</t>
        </is>
      </c>
      <c r="V211" s="22" t="inlineStr">
        <is>
          <t>FBG103</t>
        </is>
      </c>
    </row>
    <row r="212">
      <c r="A212" s="22" t="inlineStr">
        <is>
          <t>B202710</t>
        </is>
      </c>
      <c r="B212" s="22" t="inlineStr">
        <is>
          <t>벨라스트 울트라 플러스</t>
        </is>
      </c>
      <c r="C212" s="23" t="n">
        <v>93</v>
      </c>
      <c r="D212" s="23" t="n">
        <v>53</v>
      </c>
      <c r="E212" s="23" t="n">
        <v>35</v>
      </c>
      <c r="F212" s="23" t="n">
        <v>30</v>
      </c>
      <c r="G212" s="23" t="n">
        <v>5.12</v>
      </c>
      <c r="H212" s="24" t="n">
        <v>1</v>
      </c>
      <c r="I212" s="25" t="inlineStr">
        <is>
          <t>Y</t>
        </is>
      </c>
      <c r="J212" s="26" t="inlineStr">
        <is>
          <t>완박스 정보.xlsx</t>
        </is>
      </c>
      <c r="K212" s="22" t="inlineStr">
        <is>
          <t>FBX107</t>
        </is>
      </c>
      <c r="L212" s="26" t="inlineStr">
        <is>
          <t>OWN_CARTON</t>
        </is>
      </c>
      <c r="M212" s="26" t="inlineStr">
        <is>
          <t>FULLBOX_CARTON</t>
        </is>
      </c>
      <c r="N212" s="25" t="inlineStr">
        <is>
          <t>N</t>
        </is>
      </c>
      <c r="O212" s="22" t="n"/>
      <c r="P212" s="26" t="inlineStr">
        <is>
          <t>REMAINDER_TO_REPACK</t>
        </is>
      </c>
      <c r="Q212" s="25" t="inlineStr">
        <is>
          <t>OK</t>
        </is>
      </c>
      <c r="R212" s="26" t="inlineStr">
        <is>
          <t>완박스를 표준박스로 매핑하지 않고 자체 출고 카톤으로 사용</t>
        </is>
      </c>
      <c r="S212" s="22" t="inlineStr">
        <is>
          <t>FBX107</t>
        </is>
      </c>
      <c r="T212" s="22" t="inlineStr">
        <is>
          <t>완박스 53x35x30</t>
        </is>
      </c>
      <c r="U212" s="27" t="inlineStr">
        <is>
          <t>Y</t>
        </is>
      </c>
      <c r="V212" s="22" t="inlineStr">
        <is>
          <t>FBG103</t>
        </is>
      </c>
    </row>
    <row r="213">
      <c r="A213" s="22" t="inlineStr">
        <is>
          <t>B202930</t>
        </is>
      </c>
      <c r="B213" s="22" t="inlineStr">
        <is>
          <t>벨라스트 프리미엄 소프트 L</t>
        </is>
      </c>
      <c r="C213" s="23" t="n">
        <v>93</v>
      </c>
      <c r="D213" s="23" t="n">
        <v>53</v>
      </c>
      <c r="E213" s="23" t="n">
        <v>35</v>
      </c>
      <c r="F213" s="23" t="n">
        <v>30</v>
      </c>
      <c r="G213" s="23" t="n">
        <v>5.12</v>
      </c>
      <c r="H213" s="24" t="n">
        <v>1</v>
      </c>
      <c r="I213" s="25" t="inlineStr">
        <is>
          <t>Y</t>
        </is>
      </c>
      <c r="J213" s="26" t="inlineStr">
        <is>
          <t>완박스 정보.xlsx</t>
        </is>
      </c>
      <c r="K213" s="22" t="inlineStr">
        <is>
          <t>FBX107</t>
        </is>
      </c>
      <c r="L213" s="26" t="inlineStr">
        <is>
          <t>OWN_CARTON</t>
        </is>
      </c>
      <c r="M213" s="26" t="inlineStr">
        <is>
          <t>FULLBOX_CARTON</t>
        </is>
      </c>
      <c r="N213" s="25" t="inlineStr">
        <is>
          <t>N</t>
        </is>
      </c>
      <c r="O213" s="22" t="n"/>
      <c r="P213" s="26" t="inlineStr">
        <is>
          <t>REMAINDER_TO_REPACK</t>
        </is>
      </c>
      <c r="Q213" s="25" t="inlineStr">
        <is>
          <t>OK</t>
        </is>
      </c>
      <c r="R213" s="26" t="inlineStr">
        <is>
          <t>완박스를 표준박스로 매핑하지 않고 자체 출고 카톤으로 사용</t>
        </is>
      </c>
      <c r="S213" s="22" t="inlineStr">
        <is>
          <t>FBX107</t>
        </is>
      </c>
      <c r="T213" s="22" t="inlineStr">
        <is>
          <t>완박스 53x35x30</t>
        </is>
      </c>
      <c r="U213" s="27" t="inlineStr">
        <is>
          <t>Y</t>
        </is>
      </c>
      <c r="V213" s="22" t="inlineStr">
        <is>
          <t>FBG103</t>
        </is>
      </c>
    </row>
    <row r="214">
      <c r="A214" s="22" t="inlineStr">
        <is>
          <t>B203130</t>
        </is>
      </c>
      <c r="B214" s="22" t="inlineStr">
        <is>
          <t>보네타 필러 파인 리도</t>
        </is>
      </c>
      <c r="C214" s="23" t="n">
        <v>200</v>
      </c>
      <c r="D214" s="23" t="n">
        <v>59</v>
      </c>
      <c r="E214" s="23" t="n">
        <v>41</v>
      </c>
      <c r="F214" s="23" t="n">
        <v>40.5</v>
      </c>
      <c r="G214" s="23" t="n">
        <v>15.4</v>
      </c>
      <c r="H214" s="24" t="n">
        <v>1</v>
      </c>
      <c r="I214" s="25" t="inlineStr">
        <is>
          <t>Y</t>
        </is>
      </c>
      <c r="J214" s="26" t="inlineStr">
        <is>
          <t>완박스 정보.xlsx</t>
        </is>
      </c>
      <c r="K214" s="22" t="inlineStr">
        <is>
          <t>FBX108</t>
        </is>
      </c>
      <c r="L214" s="26" t="inlineStr">
        <is>
          <t>OWN_CARTON</t>
        </is>
      </c>
      <c r="M214" s="26" t="inlineStr">
        <is>
          <t>FULLBOX_CARTON</t>
        </is>
      </c>
      <c r="N214" s="25" t="inlineStr">
        <is>
          <t>N</t>
        </is>
      </c>
      <c r="O214" s="22" t="n"/>
      <c r="P214" s="26" t="inlineStr">
        <is>
          <t>REMAINDER_TO_REPACK</t>
        </is>
      </c>
      <c r="Q214" s="25" t="inlineStr">
        <is>
          <t>OK</t>
        </is>
      </c>
      <c r="R214" s="26" t="inlineStr">
        <is>
          <t>완박스를 표준박스로 매핑하지 않고 자체 출고 카톤으로 사용</t>
        </is>
      </c>
      <c r="S214" s="22" t="inlineStr">
        <is>
          <t>FBX108</t>
        </is>
      </c>
      <c r="T214" s="22" t="inlineStr">
        <is>
          <t>완박스 59x41x40.5</t>
        </is>
      </c>
      <c r="U214" s="27" t="inlineStr">
        <is>
          <t>Y</t>
        </is>
      </c>
      <c r="V214" s="22" t="inlineStr">
        <is>
          <t>FBG048</t>
        </is>
      </c>
    </row>
    <row r="215">
      <c r="A215" s="22" t="inlineStr">
        <is>
          <t>B203160</t>
        </is>
      </c>
      <c r="B215" s="22" t="inlineStr">
        <is>
          <t>볼라썸</t>
        </is>
      </c>
      <c r="C215" s="23" t="n">
        <v>65</v>
      </c>
      <c r="D215" s="23" t="n">
        <v>50</v>
      </c>
      <c r="E215" s="23" t="n">
        <v>44</v>
      </c>
      <c r="F215" s="23" t="n">
        <v>32</v>
      </c>
      <c r="G215" s="23" t="n">
        <v>6.7</v>
      </c>
      <c r="H215" s="24" t="n">
        <v>1</v>
      </c>
      <c r="I215" s="25" t="inlineStr">
        <is>
          <t>Y</t>
        </is>
      </c>
      <c r="J215" s="26" t="inlineStr">
        <is>
          <t>완박스 정보.xlsx</t>
        </is>
      </c>
      <c r="K215" s="22" t="inlineStr">
        <is>
          <t>FBX109</t>
        </is>
      </c>
      <c r="L215" s="26" t="inlineStr">
        <is>
          <t>OWN_CARTON</t>
        </is>
      </c>
      <c r="M215" s="26" t="inlineStr">
        <is>
          <t>FULLBOX_CARTON</t>
        </is>
      </c>
      <c r="N215" s="25" t="inlineStr">
        <is>
          <t>N</t>
        </is>
      </c>
      <c r="O215" s="22" t="n"/>
      <c r="P215" s="26" t="inlineStr">
        <is>
          <t>REMAINDER_TO_REPACK</t>
        </is>
      </c>
      <c r="Q215" s="25" t="inlineStr">
        <is>
          <t>OK</t>
        </is>
      </c>
      <c r="R215" s="26" t="inlineStr">
        <is>
          <t>완박스를 표준박스로 매핑하지 않고 자체 출고 카톤으로 사용</t>
        </is>
      </c>
      <c r="S215" s="22" t="inlineStr">
        <is>
          <t>FBX109</t>
        </is>
      </c>
      <c r="T215" s="22" t="inlineStr">
        <is>
          <t>완박스 50x44x32</t>
        </is>
      </c>
      <c r="U215" s="27" t="inlineStr">
        <is>
          <t>Y</t>
        </is>
      </c>
      <c r="V215" s="22" t="inlineStr">
        <is>
          <t>FBG094</t>
        </is>
      </c>
    </row>
    <row r="216">
      <c r="A216" s="22" t="inlineStr">
        <is>
          <t>B304020</t>
        </is>
      </c>
      <c r="B216" s="22" t="inlineStr">
        <is>
          <t>브이라인 솔 페이스</t>
        </is>
      </c>
      <c r="C216" s="23" t="n">
        <v>100</v>
      </c>
      <c r="D216" s="23" t="n">
        <v>42</v>
      </c>
      <c r="E216" s="23" t="n">
        <v>37</v>
      </c>
      <c r="F216" s="23" t="n">
        <v>36</v>
      </c>
      <c r="G216" s="23" t="n">
        <v>15.7</v>
      </c>
      <c r="H216" s="24" t="n">
        <v>1</v>
      </c>
      <c r="I216" s="25" t="inlineStr">
        <is>
          <t>Y</t>
        </is>
      </c>
      <c r="J216" s="26" t="inlineStr">
        <is>
          <t>완박스 정보.xlsx</t>
        </is>
      </c>
      <c r="K216" s="22" t="inlineStr">
        <is>
          <t>FBX110</t>
        </is>
      </c>
      <c r="L216" s="26" t="inlineStr">
        <is>
          <t>OWN_CARTON</t>
        </is>
      </c>
      <c r="M216" s="26" t="inlineStr">
        <is>
          <t>FULLBOX_CARTON</t>
        </is>
      </c>
      <c r="N216" s="25" t="inlineStr">
        <is>
          <t>N</t>
        </is>
      </c>
      <c r="O216" s="22" t="n"/>
      <c r="P216" s="26" t="inlineStr">
        <is>
          <t>REMAINDER_TO_REPACK</t>
        </is>
      </c>
      <c r="Q216" s="25" t="inlineStr">
        <is>
          <t>OK</t>
        </is>
      </c>
      <c r="R216" s="26" t="inlineStr">
        <is>
          <t>완박스를 표준박스로 매핑하지 않고 자체 출고 카톤으로 사용</t>
        </is>
      </c>
      <c r="S216" s="22" t="inlineStr">
        <is>
          <t>FBX110</t>
        </is>
      </c>
      <c r="T216" s="22" t="inlineStr">
        <is>
          <t>완박스 42x37x36</t>
        </is>
      </c>
      <c r="U216" s="27" t="inlineStr">
        <is>
          <t>Y</t>
        </is>
      </c>
      <c r="V216" s="22" t="inlineStr">
        <is>
          <t>FBG105</t>
        </is>
      </c>
    </row>
    <row r="217">
      <c r="A217" s="22" t="inlineStr">
        <is>
          <t>A200570</t>
        </is>
      </c>
      <c r="B217" s="22" t="inlineStr">
        <is>
          <t>비디필 미디엄 (2syr)</t>
        </is>
      </c>
      <c r="C217" s="23" t="n">
        <v>50</v>
      </c>
      <c r="D217" s="23" t="n">
        <v>40</v>
      </c>
      <c r="E217" s="23" t="n">
        <v>38.5</v>
      </c>
      <c r="F217" s="23" t="n">
        <v>27.5</v>
      </c>
      <c r="G217" s="23" t="n">
        <v>5</v>
      </c>
      <c r="H217" s="24" t="n">
        <v>1</v>
      </c>
      <c r="I217" s="25" t="inlineStr">
        <is>
          <t>Y</t>
        </is>
      </c>
      <c r="J217" s="26" t="inlineStr">
        <is>
          <t>완박스 정보.xlsx</t>
        </is>
      </c>
      <c r="K217" s="22" t="inlineStr">
        <is>
          <t>FBX111</t>
        </is>
      </c>
      <c r="L217" s="26" t="inlineStr">
        <is>
          <t>OWN_CARTON</t>
        </is>
      </c>
      <c r="M217" s="26" t="inlineStr">
        <is>
          <t>FULLBOX_CARTON</t>
        </is>
      </c>
      <c r="N217" s="25" t="inlineStr">
        <is>
          <t>N</t>
        </is>
      </c>
      <c r="O217" s="22" t="n"/>
      <c r="P217" s="26" t="inlineStr">
        <is>
          <t>REMAINDER_TO_REPACK</t>
        </is>
      </c>
      <c r="Q217" s="25" t="inlineStr">
        <is>
          <t>OK</t>
        </is>
      </c>
      <c r="R217" s="26" t="inlineStr">
        <is>
          <t>완박스를 표준박스로 매핑하지 않고 자체 출고 카톤으로 사용</t>
        </is>
      </c>
      <c r="S217" s="22" t="inlineStr">
        <is>
          <t>FBX111</t>
        </is>
      </c>
      <c r="T217" s="22" t="inlineStr">
        <is>
          <t>완박스 40x38.5x27.5</t>
        </is>
      </c>
      <c r="U217" s="27" t="inlineStr">
        <is>
          <t>Y</t>
        </is>
      </c>
      <c r="V217" s="22" t="inlineStr">
        <is>
          <t>FBG068</t>
        </is>
      </c>
    </row>
    <row r="218">
      <c r="A218" s="22" t="inlineStr">
        <is>
          <t>A200580</t>
        </is>
      </c>
      <c r="B218" s="22" t="inlineStr">
        <is>
          <t>비디필 소프트 (2syr)</t>
        </is>
      </c>
      <c r="C218" s="23" t="n">
        <v>50</v>
      </c>
      <c r="D218" s="23" t="n">
        <v>40</v>
      </c>
      <c r="E218" s="23" t="n">
        <v>38.5</v>
      </c>
      <c r="F218" s="23" t="n">
        <v>27.5</v>
      </c>
      <c r="G218" s="23" t="n">
        <v>5.15</v>
      </c>
      <c r="H218" s="24" t="n">
        <v>1</v>
      </c>
      <c r="I218" s="25" t="inlineStr">
        <is>
          <t>Y</t>
        </is>
      </c>
      <c r="J218" s="26" t="inlineStr">
        <is>
          <t>완박스 정보.xlsx</t>
        </is>
      </c>
      <c r="K218" s="22" t="inlineStr">
        <is>
          <t>FBX112</t>
        </is>
      </c>
      <c r="L218" s="26" t="inlineStr">
        <is>
          <t>OWN_CARTON</t>
        </is>
      </c>
      <c r="M218" s="26" t="inlineStr">
        <is>
          <t>FULLBOX_CARTON</t>
        </is>
      </c>
      <c r="N218" s="25" t="inlineStr">
        <is>
          <t>N</t>
        </is>
      </c>
      <c r="O218" s="22" t="n"/>
      <c r="P218" s="26" t="inlineStr">
        <is>
          <t>REMAINDER_TO_REPACK</t>
        </is>
      </c>
      <c r="Q218" s="25" t="inlineStr">
        <is>
          <t>OK</t>
        </is>
      </c>
      <c r="R218" s="26" t="inlineStr">
        <is>
          <t>완박스를 표준박스로 매핑하지 않고 자체 출고 카톤으로 사용</t>
        </is>
      </c>
      <c r="S218" s="22" t="inlineStr">
        <is>
          <t>FBX112</t>
        </is>
      </c>
      <c r="T218" s="22" t="inlineStr">
        <is>
          <t>완박스 40x38.5x27.5</t>
        </is>
      </c>
      <c r="U218" s="27" t="inlineStr">
        <is>
          <t>Y</t>
        </is>
      </c>
      <c r="V218" s="22" t="inlineStr">
        <is>
          <t>FBG068</t>
        </is>
      </c>
    </row>
    <row r="219">
      <c r="A219" s="22" t="inlineStr">
        <is>
          <t>A200560</t>
        </is>
      </c>
      <c r="B219" s="22" t="inlineStr">
        <is>
          <t>비디필 하드 (2syr)</t>
        </is>
      </c>
      <c r="C219" s="23" t="n">
        <v>50</v>
      </c>
      <c r="D219" s="23" t="n">
        <v>40</v>
      </c>
      <c r="E219" s="23" t="n">
        <v>38.5</v>
      </c>
      <c r="F219" s="23" t="n">
        <v>27.5</v>
      </c>
      <c r="G219" s="23" t="n">
        <v>5</v>
      </c>
      <c r="H219" s="24" t="n">
        <v>1</v>
      </c>
      <c r="I219" s="25" t="inlineStr">
        <is>
          <t>Y</t>
        </is>
      </c>
      <c r="J219" s="26" t="inlineStr">
        <is>
          <t>완박스 정보.xlsx</t>
        </is>
      </c>
      <c r="K219" s="22" t="inlineStr">
        <is>
          <t>FBX111</t>
        </is>
      </c>
      <c r="L219" s="26" t="inlineStr">
        <is>
          <t>OWN_CARTON</t>
        </is>
      </c>
      <c r="M219" s="26" t="inlineStr">
        <is>
          <t>FULLBOX_CARTON</t>
        </is>
      </c>
      <c r="N219" s="25" t="inlineStr">
        <is>
          <t>N</t>
        </is>
      </c>
      <c r="O219" s="22" t="n"/>
      <c r="P219" s="26" t="inlineStr">
        <is>
          <t>REMAINDER_TO_REPACK</t>
        </is>
      </c>
      <c r="Q219" s="25" t="inlineStr">
        <is>
          <t>OK</t>
        </is>
      </c>
      <c r="R219" s="26" t="inlineStr">
        <is>
          <t>완박스를 표준박스로 매핑하지 않고 자체 출고 카톤으로 사용</t>
        </is>
      </c>
      <c r="S219" s="22" t="inlineStr">
        <is>
          <t>FBX111</t>
        </is>
      </c>
      <c r="T219" s="22" t="inlineStr">
        <is>
          <t>완박스 40x38.5x27.5</t>
        </is>
      </c>
      <c r="U219" s="27" t="inlineStr">
        <is>
          <t>Y</t>
        </is>
      </c>
      <c r="V219" s="22" t="inlineStr">
        <is>
          <t>FBG068</t>
        </is>
      </c>
    </row>
    <row r="220">
      <c r="A220" s="22" t="inlineStr">
        <is>
          <t>B307310</t>
        </is>
      </c>
      <c r="B220" s="22" t="inlineStr">
        <is>
          <t>올리디아</t>
        </is>
      </c>
      <c r="C220" s="23" t="n">
        <v>120</v>
      </c>
      <c r="D220" s="23" t="n">
        <v>36</v>
      </c>
      <c r="E220" s="23" t="n">
        <v>22</v>
      </c>
      <c r="F220" s="23" t="n">
        <v>23.5</v>
      </c>
      <c r="G220" s="23" t="n">
        <v>3.36</v>
      </c>
      <c r="H220" s="24" t="n">
        <v>1</v>
      </c>
      <c r="I220" s="25" t="inlineStr">
        <is>
          <t>Y</t>
        </is>
      </c>
      <c r="J220" s="26" t="inlineStr">
        <is>
          <t>완박스 정보.xlsx</t>
        </is>
      </c>
      <c r="K220" s="22" t="inlineStr">
        <is>
          <t>FBX113</t>
        </is>
      </c>
      <c r="L220" s="26" t="inlineStr">
        <is>
          <t>OWN_CARTON</t>
        </is>
      </c>
      <c r="M220" s="26" t="inlineStr">
        <is>
          <t>FULLBOX_CARTON</t>
        </is>
      </c>
      <c r="N220" s="25" t="inlineStr">
        <is>
          <t>N</t>
        </is>
      </c>
      <c r="O220" s="22" t="n"/>
      <c r="P220" s="26" t="inlineStr">
        <is>
          <t>REMAINDER_TO_REPACK</t>
        </is>
      </c>
      <c r="Q220" s="25" t="inlineStr">
        <is>
          <t>OK</t>
        </is>
      </c>
      <c r="R220" s="26" t="inlineStr">
        <is>
          <t>완박스를 표준박스로 매핑하지 않고 자체 출고 카톤으로 사용</t>
        </is>
      </c>
      <c r="S220" s="22" t="inlineStr">
        <is>
          <t>FBX113</t>
        </is>
      </c>
      <c r="T220" s="22" t="inlineStr">
        <is>
          <t>완박스 36x22x23.5</t>
        </is>
      </c>
      <c r="U220" s="27" t="inlineStr">
        <is>
          <t>Y</t>
        </is>
      </c>
      <c r="V220" s="22" t="inlineStr">
        <is>
          <t>FBG107</t>
        </is>
      </c>
    </row>
    <row r="221">
      <c r="A221" s="22" t="inlineStr">
        <is>
          <t>A200620</t>
        </is>
      </c>
      <c r="B221" s="22" t="inlineStr">
        <is>
          <t>원필 딥 리도</t>
        </is>
      </c>
      <c r="C221" s="23" t="n">
        <v>100</v>
      </c>
      <c r="D221" s="23" t="n">
        <v>40</v>
      </c>
      <c r="E221" s="23" t="n">
        <v>25</v>
      </c>
      <c r="F221" s="23" t="n">
        <v>38.5</v>
      </c>
      <c r="G221" s="23" t="n">
        <v>5.52</v>
      </c>
      <c r="H221" s="24" t="n">
        <v>1</v>
      </c>
      <c r="I221" s="25" t="inlineStr">
        <is>
          <t>Y</t>
        </is>
      </c>
      <c r="J221" s="26" t="inlineStr">
        <is>
          <t>완박스 정보.xlsx</t>
        </is>
      </c>
      <c r="K221" s="22" t="inlineStr">
        <is>
          <t>FBX114</t>
        </is>
      </c>
      <c r="L221" s="26" t="inlineStr">
        <is>
          <t>OWN_CARTON</t>
        </is>
      </c>
      <c r="M221" s="26" t="inlineStr">
        <is>
          <t>FULLBOX_CARTON</t>
        </is>
      </c>
      <c r="N221" s="25" t="inlineStr">
        <is>
          <t>N</t>
        </is>
      </c>
      <c r="O221" s="22" t="n"/>
      <c r="P221" s="26" t="inlineStr">
        <is>
          <t>REMAINDER_TO_REPACK</t>
        </is>
      </c>
      <c r="Q221" s="25" t="inlineStr">
        <is>
          <t>OK</t>
        </is>
      </c>
      <c r="R221" s="26" t="inlineStr">
        <is>
          <t>완박스를 표준박스로 매핑하지 않고 자체 출고 카톤으로 사용</t>
        </is>
      </c>
      <c r="S221" s="22" t="inlineStr">
        <is>
          <t>FBX114</t>
        </is>
      </c>
      <c r="T221" s="22" t="inlineStr">
        <is>
          <t>완박스 40x25x38.5</t>
        </is>
      </c>
      <c r="U221" s="27" t="inlineStr">
        <is>
          <t>Y</t>
        </is>
      </c>
      <c r="V221" s="22" t="inlineStr">
        <is>
          <t>FBG101</t>
        </is>
      </c>
    </row>
    <row r="222">
      <c r="A222" s="22" t="inlineStr">
        <is>
          <t>A200608</t>
        </is>
      </c>
      <c r="B222" s="22" t="inlineStr">
        <is>
          <t>원필 딥 리도 (Tur)</t>
        </is>
      </c>
      <c r="C222" s="23" t="n">
        <v>50</v>
      </c>
      <c r="D222" s="23" t="n">
        <v>41</v>
      </c>
      <c r="E222" s="23" t="n">
        <v>39</v>
      </c>
      <c r="F222" s="23" t="n">
        <v>27</v>
      </c>
      <c r="G222" s="23" t="n">
        <v>5.3</v>
      </c>
      <c r="H222" s="24" t="n">
        <v>1</v>
      </c>
      <c r="I222" s="25" t="inlineStr">
        <is>
          <t>Y</t>
        </is>
      </c>
      <c r="J222" s="26" t="inlineStr">
        <is>
          <t>완박스 정보.xlsx</t>
        </is>
      </c>
      <c r="K222" s="22" t="inlineStr">
        <is>
          <t>FBX115</t>
        </is>
      </c>
      <c r="L222" s="26" t="inlineStr">
        <is>
          <t>OWN_CARTON</t>
        </is>
      </c>
      <c r="M222" s="26" t="inlineStr">
        <is>
          <t>FULLBOX_CARTON</t>
        </is>
      </c>
      <c r="N222" s="25" t="inlineStr">
        <is>
          <t>N</t>
        </is>
      </c>
      <c r="O222" s="22" t="n"/>
      <c r="P222" s="26" t="inlineStr">
        <is>
          <t>REMAINDER_TO_REPACK</t>
        </is>
      </c>
      <c r="Q222" s="25" t="inlineStr">
        <is>
          <t>OK</t>
        </is>
      </c>
      <c r="R222" s="26" t="inlineStr">
        <is>
          <t>완박스를 표준박스로 매핑하지 않고 자체 출고 카톤으로 사용</t>
        </is>
      </c>
      <c r="S222" s="22" t="inlineStr">
        <is>
          <t>FBX115</t>
        </is>
      </c>
      <c r="T222" s="22" t="inlineStr">
        <is>
          <t>완박스 41x39x27</t>
        </is>
      </c>
      <c r="U222" s="27" t="inlineStr">
        <is>
          <t>Y</t>
        </is>
      </c>
      <c r="V222" s="22" t="inlineStr">
        <is>
          <t>FBG068</t>
        </is>
      </c>
    </row>
    <row r="223">
      <c r="A223" s="22" t="inlineStr">
        <is>
          <t>A200610</t>
        </is>
      </c>
      <c r="B223" s="22" t="inlineStr">
        <is>
          <t>원필 서브큐 리도</t>
        </is>
      </c>
      <c r="C223" s="23" t="n">
        <v>100</v>
      </c>
      <c r="D223" s="23" t="n">
        <v>40</v>
      </c>
      <c r="E223" s="23" t="n">
        <v>25</v>
      </c>
      <c r="F223" s="23" t="n">
        <v>38.5</v>
      </c>
      <c r="G223" s="23" t="n">
        <v>5.52</v>
      </c>
      <c r="H223" s="24" t="n">
        <v>1</v>
      </c>
      <c r="I223" s="25" t="inlineStr">
        <is>
          <t>Y</t>
        </is>
      </c>
      <c r="J223" s="26" t="inlineStr">
        <is>
          <t>완박스 정보.xlsx</t>
        </is>
      </c>
      <c r="K223" s="22" t="inlineStr">
        <is>
          <t>FBX114</t>
        </is>
      </c>
      <c r="L223" s="26" t="inlineStr">
        <is>
          <t>OWN_CARTON</t>
        </is>
      </c>
      <c r="M223" s="26" t="inlineStr">
        <is>
          <t>FULLBOX_CARTON</t>
        </is>
      </c>
      <c r="N223" s="25" t="inlineStr">
        <is>
          <t>N</t>
        </is>
      </c>
      <c r="O223" s="22" t="n"/>
      <c r="P223" s="26" t="inlineStr">
        <is>
          <t>REMAINDER_TO_REPACK</t>
        </is>
      </c>
      <c r="Q223" s="25" t="inlineStr">
        <is>
          <t>OK</t>
        </is>
      </c>
      <c r="R223" s="26" t="inlineStr">
        <is>
          <t>완박스를 표준박스로 매핑하지 않고 자체 출고 카톤으로 사용</t>
        </is>
      </c>
      <c r="S223" s="22" t="inlineStr">
        <is>
          <t>FBX114</t>
        </is>
      </c>
      <c r="T223" s="22" t="inlineStr">
        <is>
          <t>완박스 40x25x38.5</t>
        </is>
      </c>
      <c r="U223" s="27" t="inlineStr">
        <is>
          <t>Y</t>
        </is>
      </c>
      <c r="V223" s="22" t="inlineStr">
        <is>
          <t>FBG101</t>
        </is>
      </c>
    </row>
    <row r="224">
      <c r="A224" s="22" t="inlineStr">
        <is>
          <t>A200607</t>
        </is>
      </c>
      <c r="B224" s="22" t="inlineStr">
        <is>
          <t>원필 서브큐 리도 (Tur)</t>
        </is>
      </c>
      <c r="C224" s="23" t="n">
        <v>50</v>
      </c>
      <c r="D224" s="23" t="n">
        <v>41</v>
      </c>
      <c r="E224" s="23" t="n">
        <v>39</v>
      </c>
      <c r="F224" s="23" t="n">
        <v>27</v>
      </c>
      <c r="G224" s="23" t="n">
        <v>5.3</v>
      </c>
      <c r="H224" s="24" t="n">
        <v>1</v>
      </c>
      <c r="I224" s="25" t="inlineStr">
        <is>
          <t>Y</t>
        </is>
      </c>
      <c r="J224" s="26" t="inlineStr">
        <is>
          <t>완박스 정보.xlsx</t>
        </is>
      </c>
      <c r="K224" s="22" t="inlineStr">
        <is>
          <t>FBX115</t>
        </is>
      </c>
      <c r="L224" s="26" t="inlineStr">
        <is>
          <t>OWN_CARTON</t>
        </is>
      </c>
      <c r="M224" s="26" t="inlineStr">
        <is>
          <t>FULLBOX_CARTON</t>
        </is>
      </c>
      <c r="N224" s="25" t="inlineStr">
        <is>
          <t>N</t>
        </is>
      </c>
      <c r="O224" s="22" t="n"/>
      <c r="P224" s="26" t="inlineStr">
        <is>
          <t>REMAINDER_TO_REPACK</t>
        </is>
      </c>
      <c r="Q224" s="25" t="inlineStr">
        <is>
          <t>OK</t>
        </is>
      </c>
      <c r="R224" s="26" t="inlineStr">
        <is>
          <t>완박스를 표준박스로 매핑하지 않고 자체 출고 카톤으로 사용</t>
        </is>
      </c>
      <c r="S224" s="22" t="inlineStr">
        <is>
          <t>FBX115</t>
        </is>
      </c>
      <c r="T224" s="22" t="inlineStr">
        <is>
          <t>완박스 41x39x27</t>
        </is>
      </c>
      <c r="U224" s="27" t="inlineStr">
        <is>
          <t>Y</t>
        </is>
      </c>
      <c r="V224" s="22" t="inlineStr">
        <is>
          <t>FBG068</t>
        </is>
      </c>
    </row>
    <row r="225">
      <c r="A225" s="22" t="inlineStr">
        <is>
          <t>A200630</t>
        </is>
      </c>
      <c r="B225" s="22" t="inlineStr">
        <is>
          <t>원필 클래식 리도</t>
        </is>
      </c>
      <c r="C225" s="23" t="n">
        <v>100</v>
      </c>
      <c r="D225" s="23" t="n">
        <v>40</v>
      </c>
      <c r="E225" s="23" t="n">
        <v>25</v>
      </c>
      <c r="F225" s="23" t="n">
        <v>38.5</v>
      </c>
      <c r="G225" s="23" t="n">
        <v>5.52</v>
      </c>
      <c r="H225" s="24" t="n">
        <v>1</v>
      </c>
      <c r="I225" s="25" t="inlineStr">
        <is>
          <t>Y</t>
        </is>
      </c>
      <c r="J225" s="26" t="inlineStr">
        <is>
          <t>완박스 정보.xlsx</t>
        </is>
      </c>
      <c r="K225" s="22" t="inlineStr">
        <is>
          <t>FBX114</t>
        </is>
      </c>
      <c r="L225" s="26" t="inlineStr">
        <is>
          <t>OWN_CARTON</t>
        </is>
      </c>
      <c r="M225" s="26" t="inlineStr">
        <is>
          <t>FULLBOX_CARTON</t>
        </is>
      </c>
      <c r="N225" s="25" t="inlineStr">
        <is>
          <t>N</t>
        </is>
      </c>
      <c r="O225" s="22" t="n"/>
      <c r="P225" s="26" t="inlineStr">
        <is>
          <t>REMAINDER_TO_REPACK</t>
        </is>
      </c>
      <c r="Q225" s="25" t="inlineStr">
        <is>
          <t>OK</t>
        </is>
      </c>
      <c r="R225" s="26" t="inlineStr">
        <is>
          <t>완박스를 표준박스로 매핑하지 않고 자체 출고 카톤으로 사용</t>
        </is>
      </c>
      <c r="S225" s="22" t="inlineStr">
        <is>
          <t>FBX114</t>
        </is>
      </c>
      <c r="T225" s="22" t="inlineStr">
        <is>
          <t>완박스 40x25x38.5</t>
        </is>
      </c>
      <c r="U225" s="27" t="inlineStr">
        <is>
          <t>Y</t>
        </is>
      </c>
      <c r="V225" s="22" t="inlineStr">
        <is>
          <t>FBG101</t>
        </is>
      </c>
    </row>
    <row r="226">
      <c r="A226" s="22" t="inlineStr">
        <is>
          <t>A200609</t>
        </is>
      </c>
      <c r="B226" s="22" t="inlineStr">
        <is>
          <t>원필 클래식 리도 (Tur)</t>
        </is>
      </c>
      <c r="C226" s="23" t="n">
        <v>50</v>
      </c>
      <c r="D226" s="23" t="n">
        <v>41</v>
      </c>
      <c r="E226" s="23" t="n">
        <v>39</v>
      </c>
      <c r="F226" s="23" t="n">
        <v>27</v>
      </c>
      <c r="G226" s="23" t="n">
        <v>5.3</v>
      </c>
      <c r="H226" s="24" t="n">
        <v>1</v>
      </c>
      <c r="I226" s="25" t="inlineStr">
        <is>
          <t>Y</t>
        </is>
      </c>
      <c r="J226" s="26" t="inlineStr">
        <is>
          <t>완박스 정보.xlsx</t>
        </is>
      </c>
      <c r="K226" s="22" t="inlineStr">
        <is>
          <t>FBX115</t>
        </is>
      </c>
      <c r="L226" s="26" t="inlineStr">
        <is>
          <t>OWN_CARTON</t>
        </is>
      </c>
      <c r="M226" s="26" t="inlineStr">
        <is>
          <t>FULLBOX_CARTON</t>
        </is>
      </c>
      <c r="N226" s="25" t="inlineStr">
        <is>
          <t>N</t>
        </is>
      </c>
      <c r="O226" s="22" t="n"/>
      <c r="P226" s="26" t="inlineStr">
        <is>
          <t>REMAINDER_TO_REPACK</t>
        </is>
      </c>
      <c r="Q226" s="25" t="inlineStr">
        <is>
          <t>OK</t>
        </is>
      </c>
      <c r="R226" s="26" t="inlineStr">
        <is>
          <t>완박스를 표준박스로 매핑하지 않고 자체 출고 카톤으로 사용</t>
        </is>
      </c>
      <c r="S226" s="22" t="inlineStr">
        <is>
          <t>FBX115</t>
        </is>
      </c>
      <c r="T226" s="22" t="inlineStr">
        <is>
          <t>완박스 41x39x27</t>
        </is>
      </c>
      <c r="U226" s="27" t="inlineStr">
        <is>
          <t>Y</t>
        </is>
      </c>
      <c r="V226" s="22" t="inlineStr">
        <is>
          <t>FBG068</t>
        </is>
      </c>
    </row>
    <row r="227" ht="15.75" customFormat="1" customHeight="1" s="29">
      <c r="A227" s="22" t="inlineStr">
        <is>
          <t>A301210</t>
        </is>
      </c>
      <c r="B227" s="22" t="inlineStr">
        <is>
          <t>제이드 카인크림</t>
        </is>
      </c>
      <c r="C227" s="23" t="n">
        <v>20</v>
      </c>
      <c r="D227" s="23" t="n">
        <v>55</v>
      </c>
      <c r="E227" s="23" t="n">
        <v>48</v>
      </c>
      <c r="F227" s="23" t="n">
        <v>15.5</v>
      </c>
      <c r="G227" s="23" t="n">
        <v>14.7</v>
      </c>
      <c r="H227" s="24" t="n">
        <v>1</v>
      </c>
      <c r="I227" s="25" t="inlineStr">
        <is>
          <t>Y</t>
        </is>
      </c>
      <c r="J227" s="26" t="inlineStr">
        <is>
          <t>완박스 정보.xlsx</t>
        </is>
      </c>
      <c r="K227" s="22" t="inlineStr">
        <is>
          <t>FBX073</t>
        </is>
      </c>
      <c r="L227" s="26" t="inlineStr">
        <is>
          <t>OWN_CARTON</t>
        </is>
      </c>
      <c r="M227" s="26" t="inlineStr">
        <is>
          <t>FULLBOX_CARTON</t>
        </is>
      </c>
      <c r="N227" s="25" t="inlineStr">
        <is>
          <t>N</t>
        </is>
      </c>
      <c r="O227" s="22" t="n"/>
      <c r="P227" s="26" t="inlineStr">
        <is>
          <t>REMAINDER_TO_REPACK</t>
        </is>
      </c>
      <c r="Q227" s="25" t="inlineStr">
        <is>
          <t>OK</t>
        </is>
      </c>
      <c r="R227" s="26" t="inlineStr">
        <is>
          <t>완박스를 표준박스로 매핑하지 않고 자체 출고 카톤으로 사용</t>
        </is>
      </c>
      <c r="S227" s="22" t="inlineStr">
        <is>
          <t>FBX073</t>
        </is>
      </c>
      <c r="T227" s="22" t="inlineStr">
        <is>
          <t>완박스 55x48x15.5</t>
        </is>
      </c>
      <c r="U227" s="27" t="inlineStr">
        <is>
          <t>Y</t>
        </is>
      </c>
      <c r="V227" s="22" t="inlineStr">
        <is>
          <t>FBG040</t>
        </is>
      </c>
      <c r="W227" s="28" t="n"/>
    </row>
    <row r="228" ht="15.75" customHeight="1" s="42">
      <c r="A228" s="22" t="inlineStr">
        <is>
          <t>B101410</t>
        </is>
      </c>
      <c r="B228" s="22" t="inlineStr">
        <is>
          <t>카이맥스100u</t>
        </is>
      </c>
      <c r="C228" s="23" t="n">
        <v>100</v>
      </c>
      <c r="D228" s="23" t="n">
        <v>35</v>
      </c>
      <c r="E228" s="23" t="n">
        <v>30.5</v>
      </c>
      <c r="F228" s="23" t="n">
        <v>20</v>
      </c>
      <c r="G228" s="23" t="n">
        <v>3.8</v>
      </c>
      <c r="H228" s="24" t="n">
        <v>1</v>
      </c>
      <c r="I228" s="25" t="inlineStr">
        <is>
          <t>Y</t>
        </is>
      </c>
      <c r="J228" s="26" t="inlineStr">
        <is>
          <t>완박스 정보.xlsx</t>
        </is>
      </c>
      <c r="K228" s="22" t="inlineStr">
        <is>
          <t>FBX116</t>
        </is>
      </c>
      <c r="L228" s="26" t="inlineStr">
        <is>
          <t>OWN_CARTON</t>
        </is>
      </c>
      <c r="M228" s="26" t="inlineStr">
        <is>
          <t>FULLBOX_CARTON</t>
        </is>
      </c>
      <c r="N228" s="25" t="inlineStr">
        <is>
          <t>N</t>
        </is>
      </c>
      <c r="O228" s="22" t="n"/>
      <c r="P228" s="26" t="inlineStr">
        <is>
          <t>REMAINDER_TO_REPACK</t>
        </is>
      </c>
      <c r="Q228" s="25" t="inlineStr">
        <is>
          <t>OK</t>
        </is>
      </c>
      <c r="R228" s="26" t="inlineStr">
        <is>
          <t>완박스를 표준박스로 매핑하지 않고 자체 출고 카톤으로 사용</t>
        </is>
      </c>
      <c r="S228" s="22" t="inlineStr">
        <is>
          <t>FBX116</t>
        </is>
      </c>
      <c r="T228" s="22" t="inlineStr">
        <is>
          <t>완박스 35x30.5x20</t>
        </is>
      </c>
      <c r="U228" s="27" t="inlineStr">
        <is>
          <t>Y</t>
        </is>
      </c>
      <c r="V228" s="22" t="inlineStr">
        <is>
          <t>FBG108</t>
        </is>
      </c>
    </row>
    <row r="229">
      <c r="A229" s="22" t="inlineStr">
        <is>
          <t>B101420</t>
        </is>
      </c>
      <c r="B229" s="22" t="inlineStr">
        <is>
          <t>카이맥스200u</t>
        </is>
      </c>
      <c r="C229" s="23" t="n">
        <v>100</v>
      </c>
      <c r="D229" s="23" t="n">
        <v>35</v>
      </c>
      <c r="E229" s="23" t="n">
        <v>30.5</v>
      </c>
      <c r="F229" s="23" t="n">
        <v>20</v>
      </c>
      <c r="G229" s="23" t="n">
        <v>3.8</v>
      </c>
      <c r="H229" s="24" t="n">
        <v>1</v>
      </c>
      <c r="I229" s="25" t="inlineStr">
        <is>
          <t>Y</t>
        </is>
      </c>
      <c r="J229" s="26" t="inlineStr">
        <is>
          <t>완박스 정보.xlsx</t>
        </is>
      </c>
      <c r="K229" s="22" t="inlineStr">
        <is>
          <t>FBX116</t>
        </is>
      </c>
      <c r="L229" s="26" t="inlineStr">
        <is>
          <t>OWN_CARTON</t>
        </is>
      </c>
      <c r="M229" s="26" t="inlineStr">
        <is>
          <t>FULLBOX_CARTON</t>
        </is>
      </c>
      <c r="N229" s="25" t="inlineStr">
        <is>
          <t>N</t>
        </is>
      </c>
      <c r="O229" s="22" t="n"/>
      <c r="P229" s="26" t="inlineStr">
        <is>
          <t>REMAINDER_TO_REPACK</t>
        </is>
      </c>
      <c r="Q229" s="25" t="inlineStr">
        <is>
          <t>OK</t>
        </is>
      </c>
      <c r="R229" s="26" t="inlineStr">
        <is>
          <t>완박스를 표준박스로 매핑하지 않고 자체 출고 카톤으로 사용</t>
        </is>
      </c>
      <c r="S229" s="22" t="inlineStr">
        <is>
          <t>FBX116</t>
        </is>
      </c>
      <c r="T229" s="22" t="inlineStr">
        <is>
          <t>완박스 35x30.5x20</t>
        </is>
      </c>
      <c r="U229" s="27" t="inlineStr">
        <is>
          <t>Y</t>
        </is>
      </c>
      <c r="V229" s="22" t="inlineStr">
        <is>
          <t>FBG108</t>
        </is>
      </c>
    </row>
    <row r="230">
      <c r="A230" s="22" t="inlineStr">
        <is>
          <t>B307909</t>
        </is>
      </c>
      <c r="B230" s="22" t="inlineStr">
        <is>
          <t>키아라 2.7ml</t>
        </is>
      </c>
      <c r="C230" s="23" t="n">
        <v>50</v>
      </c>
      <c r="D230" s="23" t="n">
        <v>42.5</v>
      </c>
      <c r="E230" s="23" t="n">
        <v>41</v>
      </c>
      <c r="F230" s="23" t="n">
        <v>17.5</v>
      </c>
      <c r="G230" s="23" t="n">
        <v>3.22</v>
      </c>
      <c r="H230" s="24" t="n">
        <v>1</v>
      </c>
      <c r="I230" s="25" t="inlineStr">
        <is>
          <t>Y</t>
        </is>
      </c>
      <c r="J230" s="26" t="inlineStr">
        <is>
          <t>완박스 정보.xlsx</t>
        </is>
      </c>
      <c r="K230" s="22" t="inlineStr">
        <is>
          <t>FBX117</t>
        </is>
      </c>
      <c r="L230" s="26" t="inlineStr">
        <is>
          <t>OWN_CARTON</t>
        </is>
      </c>
      <c r="M230" s="26" t="inlineStr">
        <is>
          <t>FULLBOX_CARTON</t>
        </is>
      </c>
      <c r="N230" s="25" t="inlineStr">
        <is>
          <t>N</t>
        </is>
      </c>
      <c r="O230" s="22" t="n"/>
      <c r="P230" s="26" t="inlineStr">
        <is>
          <t>REMAINDER_TO_REPACK</t>
        </is>
      </c>
      <c r="Q230" s="25" t="inlineStr">
        <is>
          <t>OK</t>
        </is>
      </c>
      <c r="R230" s="26" t="inlineStr">
        <is>
          <t>완박스를 표준박스로 매핑하지 않고 자체 출고 카톤으로 사용</t>
        </is>
      </c>
      <c r="S230" s="22" t="inlineStr">
        <is>
          <t>FBX117</t>
        </is>
      </c>
      <c r="T230" s="22" t="inlineStr">
        <is>
          <t>완박스 42.5x41x17.5</t>
        </is>
      </c>
      <c r="U230" s="27" t="inlineStr">
        <is>
          <t>Y</t>
        </is>
      </c>
      <c r="V230" s="22" t="inlineStr">
        <is>
          <t>FBG109</t>
        </is>
      </c>
    </row>
    <row r="231">
      <c r="A231" s="22" t="inlineStr">
        <is>
          <t>A200710</t>
        </is>
      </c>
      <c r="B231" s="22" t="inlineStr">
        <is>
          <t>프리에르 튤립</t>
        </is>
      </c>
      <c r="C231" s="23" t="n">
        <v>100</v>
      </c>
      <c r="D231" s="23" t="n">
        <v>38.5</v>
      </c>
      <c r="E231" s="23" t="n">
        <v>36.5</v>
      </c>
      <c r="F231" s="23" t="n">
        <v>24</v>
      </c>
      <c r="G231" s="23" t="n">
        <v>5.4</v>
      </c>
      <c r="H231" s="24" t="n">
        <v>1</v>
      </c>
      <c r="I231" s="25" t="inlineStr">
        <is>
          <t>Y</t>
        </is>
      </c>
      <c r="J231" s="26" t="inlineStr">
        <is>
          <t>완박스 정보.xlsx</t>
        </is>
      </c>
      <c r="K231" s="22" t="inlineStr">
        <is>
          <t>FBX118</t>
        </is>
      </c>
      <c r="L231" s="26" t="inlineStr">
        <is>
          <t>OWN_CARTON</t>
        </is>
      </c>
      <c r="M231" s="26" t="inlineStr">
        <is>
          <t>FULLBOX_CARTON</t>
        </is>
      </c>
      <c r="N231" s="25" t="inlineStr">
        <is>
          <t>N</t>
        </is>
      </c>
      <c r="O231" s="22" t="n"/>
      <c r="P231" s="26" t="inlineStr">
        <is>
          <t>REMAINDER_TO_REPACK</t>
        </is>
      </c>
      <c r="Q231" s="25" t="inlineStr">
        <is>
          <t>OK</t>
        </is>
      </c>
      <c r="R231" s="26" t="inlineStr">
        <is>
          <t>완박스를 표준박스로 매핑하지 않고 자체 출고 카톤으로 사용</t>
        </is>
      </c>
      <c r="S231" s="22" t="inlineStr">
        <is>
          <t>FBX118</t>
        </is>
      </c>
      <c r="T231" s="22" t="inlineStr">
        <is>
          <t>완박스 38.5x36.5x24</t>
        </is>
      </c>
      <c r="U231" s="27" t="inlineStr">
        <is>
          <t>Y</t>
        </is>
      </c>
      <c r="V231" s="22" t="inlineStr">
        <is>
          <t>FBG006</t>
        </is>
      </c>
    </row>
    <row r="232">
      <c r="A232" s="22" t="inlineStr">
        <is>
          <t>B206930</t>
        </is>
      </c>
      <c r="B232" s="22" t="inlineStr">
        <is>
          <t>히아필리아 미담 라이트 플러스</t>
        </is>
      </c>
      <c r="C232" s="23" t="n">
        <v>100</v>
      </c>
      <c r="D232" s="23" t="n">
        <v>39.5</v>
      </c>
      <c r="E232" s="23" t="n">
        <v>37</v>
      </c>
      <c r="F232" s="23" t="n">
        <v>24</v>
      </c>
      <c r="G232" s="23" t="n">
        <v>4.8</v>
      </c>
      <c r="H232" s="24" t="n">
        <v>1</v>
      </c>
      <c r="I232" s="25" t="inlineStr">
        <is>
          <t>Y</t>
        </is>
      </c>
      <c r="J232" s="26" t="inlineStr">
        <is>
          <t>완박스 정보.xlsx</t>
        </is>
      </c>
      <c r="K232" s="22" t="inlineStr">
        <is>
          <t>FBX119</t>
        </is>
      </c>
      <c r="L232" s="26" t="inlineStr">
        <is>
          <t>OWN_CARTON</t>
        </is>
      </c>
      <c r="M232" s="26" t="inlineStr">
        <is>
          <t>FULLBOX_CARTON</t>
        </is>
      </c>
      <c r="N232" s="25" t="inlineStr">
        <is>
          <t>N</t>
        </is>
      </c>
      <c r="O232" s="22" t="n"/>
      <c r="P232" s="26" t="inlineStr">
        <is>
          <t>REMAINDER_TO_REPACK</t>
        </is>
      </c>
      <c r="Q232" s="25" t="inlineStr">
        <is>
          <t>OK</t>
        </is>
      </c>
      <c r="R232" s="26" t="inlineStr">
        <is>
          <t>완박스를 표준박스로 매핑하지 않고 자체 출고 카톤으로 사용</t>
        </is>
      </c>
      <c r="S232" s="22" t="inlineStr">
        <is>
          <t>FBX119</t>
        </is>
      </c>
      <c r="T232" s="22" t="inlineStr">
        <is>
          <t>완박스 39.5x37x24</t>
        </is>
      </c>
      <c r="U232" s="27" t="inlineStr">
        <is>
          <t>Y</t>
        </is>
      </c>
      <c r="V232" s="22" t="inlineStr">
        <is>
          <t>FBG006</t>
        </is>
      </c>
    </row>
    <row r="233">
      <c r="A233" s="22" t="inlineStr">
        <is>
          <t>B206910</t>
        </is>
      </c>
      <c r="B233" s="22" t="inlineStr">
        <is>
          <t>히아필리아 미담 프라임 플러스</t>
        </is>
      </c>
      <c r="C233" s="23" t="n">
        <v>100</v>
      </c>
      <c r="D233" s="23" t="n">
        <v>39.5</v>
      </c>
      <c r="E233" s="23" t="n">
        <v>37</v>
      </c>
      <c r="F233" s="23" t="n">
        <v>24</v>
      </c>
      <c r="G233" s="23" t="n">
        <v>4.64</v>
      </c>
      <c r="H233" s="24" t="n">
        <v>1</v>
      </c>
      <c r="I233" s="25" t="inlineStr">
        <is>
          <t>Y</t>
        </is>
      </c>
      <c r="J233" s="26" t="inlineStr">
        <is>
          <t>완박스 정보.xlsx</t>
        </is>
      </c>
      <c r="K233" s="22" t="inlineStr">
        <is>
          <t>FBX120</t>
        </is>
      </c>
      <c r="L233" s="26" t="inlineStr">
        <is>
          <t>OWN_CARTON</t>
        </is>
      </c>
      <c r="M233" s="26" t="inlineStr">
        <is>
          <t>FULLBOX_CARTON</t>
        </is>
      </c>
      <c r="N233" s="25" t="inlineStr">
        <is>
          <t>N</t>
        </is>
      </c>
      <c r="O233" s="22" t="n"/>
      <c r="P233" s="26" t="inlineStr">
        <is>
          <t>REMAINDER_TO_REPACK</t>
        </is>
      </c>
      <c r="Q233" s="25" t="inlineStr">
        <is>
          <t>OK</t>
        </is>
      </c>
      <c r="R233" s="26" t="inlineStr">
        <is>
          <t>완박스를 표준박스로 매핑하지 않고 자체 출고 카톤으로 사용</t>
        </is>
      </c>
      <c r="S233" s="22" t="inlineStr">
        <is>
          <t>FBX120</t>
        </is>
      </c>
      <c r="T233" s="22" t="inlineStr">
        <is>
          <t>완박스 39.5x37x24</t>
        </is>
      </c>
      <c r="U233" s="27" t="inlineStr">
        <is>
          <t>Y</t>
        </is>
      </c>
      <c r="V233" s="22" t="inlineStr">
        <is>
          <t>FBG006</t>
        </is>
      </c>
    </row>
  </sheetData>
  <mergeCells count="1">
    <mergeCell ref="A1:J1"/>
  </mergeCells>
  <conditionalFormatting sqref="A1:B1048576">
    <cfRule type="duplicateValues" priority="1" dxfId="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E41" sqref="E41"/>
    </sheetView>
  </sheetViews>
  <sheetFormatPr baseColWidth="8" defaultRowHeight="15"/>
  <cols>
    <col width="18" customWidth="1" style="42" min="1" max="1"/>
    <col width="12" customWidth="1" style="42" min="2" max="4"/>
    <col width="14" customWidth="1" style="42" min="5" max="5"/>
    <col width="12" customWidth="1" style="42" min="6" max="6"/>
    <col width="14" customWidth="1" style="42" min="7" max="7"/>
    <col width="16" customWidth="1" style="42" min="8" max="9"/>
    <col width="14" customWidth="1" style="42" min="10" max="10"/>
    <col width="36" customWidth="1" style="42" min="11" max="11"/>
  </cols>
  <sheetData>
    <row r="1" ht="24" customHeight="1" s="42">
      <c r="A1" s="41" t="inlineStr">
        <is>
          <t>fullboxes_master에서 파생된 완박스 출고 카톤 마스터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</row>
    <row r="3" ht="32.1" customHeight="1" s="42">
      <c r="A3" s="43" t="inlineStr">
        <is>
          <t>완박스카톤코드</t>
        </is>
      </c>
      <c r="B3" s="43" t="inlineStr">
        <is>
          <t>외경가로(cm)</t>
        </is>
      </c>
      <c r="C3" s="43" t="inlineStr">
        <is>
          <t>외경세로(cm)</t>
        </is>
      </c>
      <c r="D3" s="43" t="inlineStr">
        <is>
          <t>외경높이(cm)</t>
        </is>
      </c>
      <c r="E3" s="43" t="inlineStr">
        <is>
          <t>카톤총중량(kg)</t>
        </is>
      </c>
      <c r="F3" s="43" t="inlineStr">
        <is>
          <t>연결SKU행수</t>
        </is>
      </c>
      <c r="G3" s="43" t="inlineStr">
        <is>
          <t>연결상품코드수</t>
        </is>
      </c>
      <c r="H3" s="43" t="inlineStr">
        <is>
          <t>엔진해석정책</t>
        </is>
      </c>
      <c r="I3" s="43" t="inlineStr">
        <is>
          <t>표준박스매핑여부</t>
        </is>
      </c>
      <c r="J3" s="43" t="inlineStr">
        <is>
          <t>원본시트</t>
        </is>
      </c>
      <c r="K3" s="43" t="inlineStr">
        <is>
          <t>비고</t>
        </is>
      </c>
    </row>
    <row r="4">
      <c r="A4" s="3" t="inlineStr">
        <is>
          <t>FBX001</t>
        </is>
      </c>
      <c r="B4" s="5" t="n">
        <v>32</v>
      </c>
      <c r="C4" s="5" t="n">
        <v>31</v>
      </c>
      <c r="D4" s="5" t="n">
        <v>20</v>
      </c>
      <c r="E4" s="59" t="n">
        <v>8.300000000000001</v>
      </c>
      <c r="F4" s="5" t="n">
        <v>2</v>
      </c>
      <c r="G4" s="5" t="n">
        <v>2</v>
      </c>
      <c r="H4" s="3" t="inlineStr">
        <is>
          <t>OWN_CARTON</t>
        </is>
      </c>
      <c r="I4" s="4" t="inlineStr">
        <is>
          <t>N</t>
        </is>
      </c>
      <c r="J4" s="3" t="inlineStr">
        <is>
          <t>fullboxes_master</t>
        </is>
      </c>
      <c r="K4" s="3" t="inlineStr">
        <is>
          <t>완박스는 자체 카톤 규격으로 출고 처리</t>
        </is>
      </c>
    </row>
    <row r="5">
      <c r="A5" s="3" t="inlineStr">
        <is>
          <t>FBX002</t>
        </is>
      </c>
      <c r="B5" s="5" t="n">
        <v>34</v>
      </c>
      <c r="C5" s="5" t="n">
        <v>31</v>
      </c>
      <c r="D5" s="5" t="n">
        <v>16</v>
      </c>
      <c r="E5" s="59" t="n">
        <v>3.6</v>
      </c>
      <c r="F5" s="5" t="n">
        <v>1</v>
      </c>
      <c r="G5" s="5" t="n">
        <v>1</v>
      </c>
      <c r="H5" s="3" t="inlineStr">
        <is>
          <t>OWN_CARTON</t>
        </is>
      </c>
      <c r="I5" s="4" t="inlineStr">
        <is>
          <t>N</t>
        </is>
      </c>
      <c r="J5" s="3" t="inlineStr">
        <is>
          <t>fullboxes_master</t>
        </is>
      </c>
      <c r="K5" s="3" t="inlineStr">
        <is>
          <t>완박스는 자체 카톤 규격으로 출고 처리</t>
        </is>
      </c>
    </row>
    <row r="6">
      <c r="A6" s="3" t="inlineStr">
        <is>
          <t>FBX003</t>
        </is>
      </c>
      <c r="B6" s="5" t="n">
        <v>34</v>
      </c>
      <c r="C6" s="5" t="n">
        <v>31</v>
      </c>
      <c r="D6" s="5" t="n">
        <v>16</v>
      </c>
      <c r="E6" s="59" t="n">
        <v>3.74</v>
      </c>
      <c r="F6" s="5" t="n">
        <v>2</v>
      </c>
      <c r="G6" s="5" t="n">
        <v>2</v>
      </c>
      <c r="H6" s="3" t="inlineStr">
        <is>
          <t>OWN_CARTON</t>
        </is>
      </c>
      <c r="I6" s="4" t="inlineStr">
        <is>
          <t>N</t>
        </is>
      </c>
      <c r="J6" s="3" t="inlineStr">
        <is>
          <t>fullboxes_master</t>
        </is>
      </c>
      <c r="K6" s="3" t="inlineStr">
        <is>
          <t>완박스는 자체 카톤 규격으로 출고 처리</t>
        </is>
      </c>
    </row>
    <row r="7">
      <c r="A7" s="3" t="inlineStr">
        <is>
          <t>FBX004</t>
        </is>
      </c>
      <c r="B7" s="5" t="n">
        <v>34</v>
      </c>
      <c r="C7" s="5" t="n">
        <v>31</v>
      </c>
      <c r="D7" s="5" t="n">
        <v>16</v>
      </c>
      <c r="E7" s="59" t="n">
        <v>3.9</v>
      </c>
      <c r="F7" s="5" t="n">
        <v>2</v>
      </c>
      <c r="G7" s="5" t="n">
        <v>2</v>
      </c>
      <c r="H7" s="3" t="inlineStr">
        <is>
          <t>OWN_CARTON</t>
        </is>
      </c>
      <c r="I7" s="4" t="inlineStr">
        <is>
          <t>N</t>
        </is>
      </c>
      <c r="J7" s="3" t="inlineStr">
        <is>
          <t>fullboxes_master</t>
        </is>
      </c>
      <c r="K7" s="3" t="inlineStr">
        <is>
          <t>완박스는 자체 카톤 규격으로 출고 처리</t>
        </is>
      </c>
    </row>
    <row r="8">
      <c r="A8" s="3" t="inlineStr">
        <is>
          <t>FBX005</t>
        </is>
      </c>
      <c r="B8" s="5" t="n">
        <v>37</v>
      </c>
      <c r="C8" s="5" t="n">
        <v>37</v>
      </c>
      <c r="D8" s="5" t="n">
        <v>32</v>
      </c>
      <c r="E8" s="59" t="n">
        <v>4.7</v>
      </c>
      <c r="F8" s="5" t="n">
        <v>4</v>
      </c>
      <c r="G8" s="5" t="n">
        <v>4</v>
      </c>
      <c r="H8" s="3" t="inlineStr">
        <is>
          <t>OWN_CARTON</t>
        </is>
      </c>
      <c r="I8" s="4" t="inlineStr">
        <is>
          <t>N</t>
        </is>
      </c>
      <c r="J8" s="3" t="inlineStr">
        <is>
          <t>fullboxes_master</t>
        </is>
      </c>
      <c r="K8" s="3" t="inlineStr">
        <is>
          <t>완박스는 자체 카톤 규격으로 출고 처리</t>
        </is>
      </c>
    </row>
    <row r="9">
      <c r="A9" s="3" t="inlineStr">
        <is>
          <t>FBX006</t>
        </is>
      </c>
      <c r="B9" s="5" t="n">
        <v>38</v>
      </c>
      <c r="C9" s="5" t="n">
        <v>37</v>
      </c>
      <c r="D9" s="59" t="n">
        <v>25.5</v>
      </c>
      <c r="E9" s="59" t="n">
        <v>4.5</v>
      </c>
      <c r="F9" s="5" t="n">
        <v>3</v>
      </c>
      <c r="G9" s="5" t="n">
        <v>3</v>
      </c>
      <c r="H9" s="3" t="inlineStr">
        <is>
          <t>OWN_CARTON</t>
        </is>
      </c>
      <c r="I9" s="4" t="inlineStr">
        <is>
          <t>N</t>
        </is>
      </c>
      <c r="J9" s="3" t="inlineStr">
        <is>
          <t>fullboxes_master</t>
        </is>
      </c>
      <c r="K9" s="3" t="inlineStr">
        <is>
          <t>완박스는 자체 카톤 규격으로 출고 처리</t>
        </is>
      </c>
    </row>
    <row r="10">
      <c r="A10" s="3" t="inlineStr">
        <is>
          <t>FBX007</t>
        </is>
      </c>
      <c r="B10" s="5" t="n">
        <v>39</v>
      </c>
      <c r="C10" s="5" t="n">
        <v>25</v>
      </c>
      <c r="D10" s="5" t="n">
        <v>22</v>
      </c>
      <c r="E10" s="59" t="n">
        <v>2.55</v>
      </c>
      <c r="F10" s="5" t="n">
        <v>1</v>
      </c>
      <c r="G10" s="5" t="n">
        <v>1</v>
      </c>
      <c r="H10" s="3" t="inlineStr">
        <is>
          <t>OWN_CARTON</t>
        </is>
      </c>
      <c r="I10" s="4" t="inlineStr">
        <is>
          <t>N</t>
        </is>
      </c>
      <c r="J10" s="3" t="inlineStr">
        <is>
          <t>fullboxes_master</t>
        </is>
      </c>
      <c r="K10" s="3" t="inlineStr">
        <is>
          <t>완박스는 자체 카톤 규격으로 출고 처리</t>
        </is>
      </c>
    </row>
    <row r="11">
      <c r="A11" s="3" t="inlineStr">
        <is>
          <t>FBX008</t>
        </is>
      </c>
      <c r="B11" s="5" t="n">
        <v>39</v>
      </c>
      <c r="C11" s="5" t="n">
        <v>25</v>
      </c>
      <c r="D11" s="5" t="n">
        <v>22</v>
      </c>
      <c r="E11" s="5" t="n">
        <v>7</v>
      </c>
      <c r="F11" s="5" t="n">
        <v>1</v>
      </c>
      <c r="G11" s="5" t="n">
        <v>1</v>
      </c>
      <c r="H11" s="3" t="inlineStr">
        <is>
          <t>OWN_CARTON</t>
        </is>
      </c>
      <c r="I11" s="4" t="inlineStr">
        <is>
          <t>N</t>
        </is>
      </c>
      <c r="J11" s="3" t="inlineStr">
        <is>
          <t>fullboxes_master</t>
        </is>
      </c>
      <c r="K11" s="3" t="inlineStr">
        <is>
          <t>완박스는 자체 카톤 규격으로 출고 처리</t>
        </is>
      </c>
    </row>
    <row r="12">
      <c r="A12" s="3" t="inlineStr">
        <is>
          <t>FBX009</t>
        </is>
      </c>
      <c r="B12" s="5" t="n">
        <v>39</v>
      </c>
      <c r="C12" s="59" t="n">
        <v>36.5</v>
      </c>
      <c r="D12" s="59" t="n">
        <v>24.5</v>
      </c>
      <c r="E12" s="59" t="n">
        <v>4.8</v>
      </c>
      <c r="F12" s="5" t="n">
        <v>1</v>
      </c>
      <c r="G12" s="5" t="n">
        <v>1</v>
      </c>
      <c r="H12" s="3" t="inlineStr">
        <is>
          <t>OWN_CARTON</t>
        </is>
      </c>
      <c r="I12" s="4" t="inlineStr">
        <is>
          <t>N</t>
        </is>
      </c>
      <c r="J12" s="3" t="inlineStr">
        <is>
          <t>fullboxes_master</t>
        </is>
      </c>
      <c r="K12" s="3" t="inlineStr">
        <is>
          <t>완박스는 자체 카톤 규격으로 출고 처리</t>
        </is>
      </c>
    </row>
    <row r="13">
      <c r="A13" s="3" t="inlineStr">
        <is>
          <t>FBX010</t>
        </is>
      </c>
      <c r="B13" s="59" t="n">
        <v>39.5</v>
      </c>
      <c r="C13" s="59" t="n">
        <v>22.5</v>
      </c>
      <c r="D13" s="59" t="n">
        <v>39.5</v>
      </c>
      <c r="E13" s="59" t="n">
        <v>6.5</v>
      </c>
      <c r="F13" s="5" t="n">
        <v>6</v>
      </c>
      <c r="G13" s="5" t="n">
        <v>6</v>
      </c>
      <c r="H13" s="3" t="inlineStr">
        <is>
          <t>OWN_CARTON</t>
        </is>
      </c>
      <c r="I13" s="4" t="inlineStr">
        <is>
          <t>N</t>
        </is>
      </c>
      <c r="J13" s="3" t="inlineStr">
        <is>
          <t>fullboxes_master</t>
        </is>
      </c>
      <c r="K13" s="3" t="inlineStr">
        <is>
          <t>완박스는 자체 카톤 규격으로 출고 처리</t>
        </is>
      </c>
    </row>
    <row r="14">
      <c r="A14" s="3" t="inlineStr">
        <is>
          <t>FBX011</t>
        </is>
      </c>
      <c r="B14" s="59" t="n">
        <v>39.5</v>
      </c>
      <c r="C14" s="59" t="n">
        <v>22.5</v>
      </c>
      <c r="D14" s="59" t="n">
        <v>39.5</v>
      </c>
      <c r="E14" s="59" t="n">
        <v>6.6</v>
      </c>
      <c r="F14" s="5" t="n">
        <v>2</v>
      </c>
      <c r="G14" s="5" t="n">
        <v>2</v>
      </c>
      <c r="H14" s="3" t="inlineStr">
        <is>
          <t>OWN_CARTON</t>
        </is>
      </c>
      <c r="I14" s="4" t="inlineStr">
        <is>
          <t>N</t>
        </is>
      </c>
      <c r="J14" s="3" t="inlineStr">
        <is>
          <t>fullboxes_master</t>
        </is>
      </c>
      <c r="K14" s="3" t="inlineStr">
        <is>
          <t>완박스는 자체 카톤 규격으로 출고 처리</t>
        </is>
      </c>
    </row>
    <row r="15">
      <c r="A15" s="3" t="inlineStr">
        <is>
          <t>FBX012</t>
        </is>
      </c>
      <c r="B15" s="59" t="n">
        <v>39.5</v>
      </c>
      <c r="C15" s="59" t="n">
        <v>22.5</v>
      </c>
      <c r="D15" s="59" t="n">
        <v>39.5</v>
      </c>
      <c r="E15" s="59" t="n">
        <v>6.7</v>
      </c>
      <c r="F15" s="5" t="n">
        <v>1</v>
      </c>
      <c r="G15" s="5" t="n">
        <v>1</v>
      </c>
      <c r="H15" s="3" t="inlineStr">
        <is>
          <t>OWN_CARTON</t>
        </is>
      </c>
      <c r="I15" s="4" t="inlineStr">
        <is>
          <t>N</t>
        </is>
      </c>
      <c r="J15" s="3" t="inlineStr">
        <is>
          <t>fullboxes_master</t>
        </is>
      </c>
      <c r="K15" s="3" t="inlineStr">
        <is>
          <t>완박스는 자체 카톤 규격으로 출고 처리</t>
        </is>
      </c>
    </row>
    <row r="16">
      <c r="A16" s="3" t="inlineStr">
        <is>
          <t>FBX013</t>
        </is>
      </c>
      <c r="B16" s="59" t="n">
        <v>39.5</v>
      </c>
      <c r="C16" s="59" t="n">
        <v>36.5</v>
      </c>
      <c r="D16" s="59" t="n">
        <v>24.5</v>
      </c>
      <c r="E16" s="59" t="n">
        <v>4.5</v>
      </c>
      <c r="F16" s="5" t="n">
        <v>2</v>
      </c>
      <c r="G16" s="5" t="n">
        <v>2</v>
      </c>
      <c r="H16" s="3" t="inlineStr">
        <is>
          <t>OWN_CARTON</t>
        </is>
      </c>
      <c r="I16" s="4" t="inlineStr">
        <is>
          <t>N</t>
        </is>
      </c>
      <c r="J16" s="3" t="inlineStr">
        <is>
          <t>fullboxes_master</t>
        </is>
      </c>
      <c r="K16" s="3" t="inlineStr">
        <is>
          <t>완박스는 자체 카톤 규격으로 출고 처리</t>
        </is>
      </c>
    </row>
    <row r="17">
      <c r="A17" s="3" t="inlineStr">
        <is>
          <t>FBX014</t>
        </is>
      </c>
      <c r="B17" s="5" t="n">
        <v>40</v>
      </c>
      <c r="C17" s="59" t="n">
        <v>38.5</v>
      </c>
      <c r="D17" s="59" t="n">
        <v>27.5</v>
      </c>
      <c r="E17" s="59" t="n">
        <v>5.35</v>
      </c>
      <c r="F17" s="5" t="n">
        <v>1</v>
      </c>
      <c r="G17" s="5" t="n">
        <v>1</v>
      </c>
      <c r="H17" s="3" t="inlineStr">
        <is>
          <t>OWN_CARTON</t>
        </is>
      </c>
      <c r="I17" s="4" t="inlineStr">
        <is>
          <t>N</t>
        </is>
      </c>
      <c r="J17" s="3" t="inlineStr">
        <is>
          <t>fullboxes_master</t>
        </is>
      </c>
      <c r="K17" s="3" t="inlineStr">
        <is>
          <t>완박스는 자체 카톤 규격으로 출고 처리</t>
        </is>
      </c>
    </row>
    <row r="18">
      <c r="A18" s="3" t="inlineStr">
        <is>
          <t>FBX015</t>
        </is>
      </c>
      <c r="B18" s="5" t="n">
        <v>40</v>
      </c>
      <c r="C18" s="59" t="n">
        <v>38.5</v>
      </c>
      <c r="D18" s="59" t="n">
        <v>27.5</v>
      </c>
      <c r="E18" s="59" t="n">
        <v>5.45</v>
      </c>
      <c r="F18" s="5" t="n">
        <v>1</v>
      </c>
      <c r="G18" s="5" t="n">
        <v>1</v>
      </c>
      <c r="H18" s="3" t="inlineStr">
        <is>
          <t>OWN_CARTON</t>
        </is>
      </c>
      <c r="I18" s="4" t="inlineStr">
        <is>
          <t>N</t>
        </is>
      </c>
      <c r="J18" s="3" t="inlineStr">
        <is>
          <t>fullboxes_master</t>
        </is>
      </c>
      <c r="K18" s="3" t="inlineStr">
        <is>
          <t>완박스는 자체 카톤 규격으로 출고 처리</t>
        </is>
      </c>
    </row>
    <row r="19">
      <c r="A19" s="3" t="inlineStr">
        <is>
          <t>FBX016</t>
        </is>
      </c>
      <c r="B19" s="5" t="n">
        <v>40</v>
      </c>
      <c r="C19" s="59" t="n">
        <v>38.5</v>
      </c>
      <c r="D19" s="59" t="n">
        <v>30.5</v>
      </c>
      <c r="E19" s="59" t="n">
        <v>4.2</v>
      </c>
      <c r="F19" s="5" t="n">
        <v>4</v>
      </c>
      <c r="G19" s="5" t="n">
        <v>4</v>
      </c>
      <c r="H19" s="3" t="inlineStr">
        <is>
          <t>OWN_CARTON</t>
        </is>
      </c>
      <c r="I19" s="4" t="inlineStr">
        <is>
          <t>N</t>
        </is>
      </c>
      <c r="J19" s="3" t="inlineStr">
        <is>
          <t>fullboxes_master</t>
        </is>
      </c>
      <c r="K19" s="3" t="inlineStr">
        <is>
          <t>완박스는 자체 카톤 규격으로 출고 처리</t>
        </is>
      </c>
    </row>
    <row r="20">
      <c r="A20" s="3" t="inlineStr">
        <is>
          <t>FBX017</t>
        </is>
      </c>
      <c r="B20" s="5" t="n">
        <v>40</v>
      </c>
      <c r="C20" s="5" t="n">
        <v>39</v>
      </c>
      <c r="D20" s="59" t="n">
        <v>27.5</v>
      </c>
      <c r="E20" s="59" t="n">
        <v>5.45</v>
      </c>
      <c r="F20" s="5" t="n">
        <v>1</v>
      </c>
      <c r="G20" s="5" t="n">
        <v>1</v>
      </c>
      <c r="H20" s="3" t="inlineStr">
        <is>
          <t>OWN_CARTON</t>
        </is>
      </c>
      <c r="I20" s="4" t="inlineStr">
        <is>
          <t>N</t>
        </is>
      </c>
      <c r="J20" s="3" t="inlineStr">
        <is>
          <t>fullboxes_master</t>
        </is>
      </c>
      <c r="K20" s="3" t="inlineStr">
        <is>
          <t>완박스는 자체 카톤 규격으로 출고 처리</t>
        </is>
      </c>
    </row>
    <row r="21">
      <c r="A21" s="3" t="inlineStr">
        <is>
          <t>FBX018</t>
        </is>
      </c>
      <c r="B21" s="5" t="n">
        <v>41</v>
      </c>
      <c r="C21" s="5" t="n">
        <v>31</v>
      </c>
      <c r="D21" s="5" t="n">
        <v>40</v>
      </c>
      <c r="E21" s="59" t="n">
        <v>5.7</v>
      </c>
      <c r="F21" s="5" t="n">
        <v>8</v>
      </c>
      <c r="G21" s="5" t="n">
        <v>8</v>
      </c>
      <c r="H21" s="3" t="inlineStr">
        <is>
          <t>OWN_CARTON</t>
        </is>
      </c>
      <c r="I21" s="4" t="inlineStr">
        <is>
          <t>N</t>
        </is>
      </c>
      <c r="J21" s="3" t="inlineStr">
        <is>
          <t>fullboxes_master</t>
        </is>
      </c>
      <c r="K21" s="3" t="inlineStr">
        <is>
          <t>완박스는 자체 카톤 규격으로 출고 처리</t>
        </is>
      </c>
    </row>
    <row r="22">
      <c r="A22" s="3" t="inlineStr">
        <is>
          <t>FBX019</t>
        </is>
      </c>
      <c r="B22" s="5" t="n">
        <v>41</v>
      </c>
      <c r="C22" s="59" t="n">
        <v>32.5</v>
      </c>
      <c r="D22" s="5" t="n">
        <v>40</v>
      </c>
      <c r="E22" s="59" t="n">
        <v>5.5</v>
      </c>
      <c r="F22" s="5" t="n">
        <v>4</v>
      </c>
      <c r="G22" s="5" t="n">
        <v>4</v>
      </c>
      <c r="H22" s="3" t="inlineStr">
        <is>
          <t>OWN_CARTON</t>
        </is>
      </c>
      <c r="I22" s="4" t="inlineStr">
        <is>
          <t>N</t>
        </is>
      </c>
      <c r="J22" s="3" t="inlineStr">
        <is>
          <t>fullboxes_master</t>
        </is>
      </c>
      <c r="K22" s="3" t="inlineStr">
        <is>
          <t>완박스는 자체 카톤 규격으로 출고 처리</t>
        </is>
      </c>
    </row>
    <row r="23">
      <c r="A23" s="3" t="inlineStr">
        <is>
          <t>FBX020</t>
        </is>
      </c>
      <c r="B23" s="5" t="n">
        <v>41</v>
      </c>
      <c r="C23" s="5" t="n">
        <v>34</v>
      </c>
      <c r="D23" s="5" t="n">
        <v>39</v>
      </c>
      <c r="E23" s="59" t="n">
        <v>5.25</v>
      </c>
      <c r="F23" s="5" t="n">
        <v>2</v>
      </c>
      <c r="G23" s="5" t="n">
        <v>2</v>
      </c>
      <c r="H23" s="3" t="inlineStr">
        <is>
          <t>OWN_CARTON</t>
        </is>
      </c>
      <c r="I23" s="4" t="inlineStr">
        <is>
          <t>N</t>
        </is>
      </c>
      <c r="J23" s="3" t="inlineStr">
        <is>
          <t>fullboxes_master</t>
        </is>
      </c>
      <c r="K23" s="3" t="inlineStr">
        <is>
          <t>완박스는 자체 카톤 규격으로 출고 처리</t>
        </is>
      </c>
    </row>
    <row r="24">
      <c r="A24" s="3" t="inlineStr">
        <is>
          <t>FBX021</t>
        </is>
      </c>
      <c r="B24" s="5" t="n">
        <v>41</v>
      </c>
      <c r="C24" s="5" t="n">
        <v>37</v>
      </c>
      <c r="D24" s="5" t="n">
        <v>17</v>
      </c>
      <c r="E24" s="59" t="n">
        <v>7.9</v>
      </c>
      <c r="F24" s="5" t="n">
        <v>1</v>
      </c>
      <c r="G24" s="5" t="n">
        <v>1</v>
      </c>
      <c r="H24" s="3" t="inlineStr">
        <is>
          <t>OWN_CARTON</t>
        </is>
      </c>
      <c r="I24" s="4" t="inlineStr">
        <is>
          <t>N</t>
        </is>
      </c>
      <c r="J24" s="3" t="inlineStr">
        <is>
          <t>fullboxes_master</t>
        </is>
      </c>
      <c r="K24" s="3" t="inlineStr">
        <is>
          <t>완박스는 자체 카톤 규격으로 출고 처리</t>
        </is>
      </c>
    </row>
    <row r="25">
      <c r="A25" s="3" t="inlineStr">
        <is>
          <t>FBX022</t>
        </is>
      </c>
      <c r="B25" s="59" t="n">
        <v>41.5</v>
      </c>
      <c r="C25" s="5" t="n">
        <v>38</v>
      </c>
      <c r="D25" s="59" t="n">
        <v>18.5</v>
      </c>
      <c r="E25" s="59" t="n">
        <v>3.36</v>
      </c>
      <c r="F25" s="5" t="n">
        <v>9</v>
      </c>
      <c r="G25" s="5" t="n">
        <v>9</v>
      </c>
      <c r="H25" s="3" t="inlineStr">
        <is>
          <t>OWN_CARTON</t>
        </is>
      </c>
      <c r="I25" s="4" t="inlineStr">
        <is>
          <t>N</t>
        </is>
      </c>
      <c r="J25" s="3" t="inlineStr">
        <is>
          <t>fullboxes_master</t>
        </is>
      </c>
      <c r="K25" s="3" t="inlineStr">
        <is>
          <t>완박스는 자체 카톤 규격으로 출고 처리</t>
        </is>
      </c>
    </row>
    <row r="26">
      <c r="A26" s="3" t="inlineStr">
        <is>
          <t>FBX023</t>
        </is>
      </c>
      <c r="B26" s="59" t="n">
        <v>41.5</v>
      </c>
      <c r="C26" s="5" t="n">
        <v>43</v>
      </c>
      <c r="D26" s="5" t="n">
        <v>32</v>
      </c>
      <c r="E26" s="59" t="n">
        <v>5.3</v>
      </c>
      <c r="F26" s="5" t="n">
        <v>3</v>
      </c>
      <c r="G26" s="5" t="n">
        <v>3</v>
      </c>
      <c r="H26" s="3" t="inlineStr">
        <is>
          <t>OWN_CARTON</t>
        </is>
      </c>
      <c r="I26" s="4" t="inlineStr">
        <is>
          <t>N</t>
        </is>
      </c>
      <c r="J26" s="3" t="inlineStr">
        <is>
          <t>fullboxes_master</t>
        </is>
      </c>
      <c r="K26" s="3" t="inlineStr">
        <is>
          <t>완박스는 자체 카톤 규격으로 출고 처리</t>
        </is>
      </c>
    </row>
    <row r="27">
      <c r="A27" s="3" t="inlineStr">
        <is>
          <t>FBX024</t>
        </is>
      </c>
      <c r="B27" s="5" t="n">
        <v>43</v>
      </c>
      <c r="C27" s="5" t="n">
        <v>34</v>
      </c>
      <c r="D27" s="59" t="n">
        <v>28.5</v>
      </c>
      <c r="E27" s="5" t="n">
        <v>10</v>
      </c>
      <c r="F27" s="5" t="n">
        <v>1</v>
      </c>
      <c r="G27" s="5" t="n">
        <v>1</v>
      </c>
      <c r="H27" s="3" t="inlineStr">
        <is>
          <t>OWN_CARTON</t>
        </is>
      </c>
      <c r="I27" s="4" t="inlineStr">
        <is>
          <t>N</t>
        </is>
      </c>
      <c r="J27" s="3" t="inlineStr">
        <is>
          <t>fullboxes_master</t>
        </is>
      </c>
      <c r="K27" s="3" t="inlineStr">
        <is>
          <t>완박스는 자체 카톤 규격으로 출고 처리</t>
        </is>
      </c>
    </row>
    <row r="28">
      <c r="A28" s="3" t="inlineStr">
        <is>
          <t>FBX025</t>
        </is>
      </c>
      <c r="B28" s="5" t="n">
        <v>43</v>
      </c>
      <c r="C28" s="5" t="n">
        <v>34</v>
      </c>
      <c r="D28" s="5" t="n">
        <v>29</v>
      </c>
      <c r="E28" s="59" t="n">
        <v>10.9</v>
      </c>
      <c r="F28" s="5" t="n">
        <v>1</v>
      </c>
      <c r="G28" s="5" t="n">
        <v>1</v>
      </c>
      <c r="H28" s="3" t="inlineStr">
        <is>
          <t>OWN_CARTON</t>
        </is>
      </c>
      <c r="I28" s="4" t="inlineStr">
        <is>
          <t>N</t>
        </is>
      </c>
      <c r="J28" s="3" t="inlineStr">
        <is>
          <t>fullboxes_master</t>
        </is>
      </c>
      <c r="K28" s="3" t="inlineStr">
        <is>
          <t>완박스는 자체 카톤 규격으로 출고 처리</t>
        </is>
      </c>
    </row>
    <row r="29">
      <c r="A29" s="3" t="inlineStr">
        <is>
          <t>FBX026</t>
        </is>
      </c>
      <c r="B29" s="5" t="n">
        <v>43</v>
      </c>
      <c r="C29" s="5" t="n">
        <v>37</v>
      </c>
      <c r="D29" s="5" t="n">
        <v>29</v>
      </c>
      <c r="E29" s="59" t="n">
        <v>5.5</v>
      </c>
      <c r="F29" s="5" t="n">
        <v>2</v>
      </c>
      <c r="G29" s="5" t="n">
        <v>2</v>
      </c>
      <c r="H29" s="3" t="inlineStr">
        <is>
          <t>OWN_CARTON</t>
        </is>
      </c>
      <c r="I29" s="4" t="inlineStr">
        <is>
          <t>N</t>
        </is>
      </c>
      <c r="J29" s="3" t="inlineStr">
        <is>
          <t>fullboxes_master</t>
        </is>
      </c>
      <c r="K29" s="3" t="inlineStr">
        <is>
          <t>완박스는 자체 카톤 규격으로 출고 처리</t>
        </is>
      </c>
    </row>
    <row r="30">
      <c r="A30" s="3" t="inlineStr">
        <is>
          <t>FBX027</t>
        </is>
      </c>
      <c r="B30" s="5" t="n">
        <v>43</v>
      </c>
      <c r="C30" s="5" t="n">
        <v>37</v>
      </c>
      <c r="D30" s="5" t="n">
        <v>29</v>
      </c>
      <c r="E30" s="59" t="n">
        <v>5.6</v>
      </c>
      <c r="F30" s="5" t="n">
        <v>2</v>
      </c>
      <c r="G30" s="5" t="n">
        <v>2</v>
      </c>
      <c r="H30" s="3" t="inlineStr">
        <is>
          <t>OWN_CARTON</t>
        </is>
      </c>
      <c r="I30" s="4" t="inlineStr">
        <is>
          <t>N</t>
        </is>
      </c>
      <c r="J30" s="3" t="inlineStr">
        <is>
          <t>fullboxes_master</t>
        </is>
      </c>
      <c r="K30" s="3" t="inlineStr">
        <is>
          <t>완박스는 자체 카톤 규격으로 출고 처리</t>
        </is>
      </c>
    </row>
    <row r="31">
      <c r="A31" s="3" t="inlineStr">
        <is>
          <t>FBX028</t>
        </is>
      </c>
      <c r="B31" s="5" t="n">
        <v>43</v>
      </c>
      <c r="C31" s="5" t="n">
        <v>37</v>
      </c>
      <c r="D31" s="5" t="n">
        <v>30</v>
      </c>
      <c r="E31" s="59" t="n">
        <v>5.5</v>
      </c>
      <c r="F31" s="5" t="n">
        <v>3</v>
      </c>
      <c r="G31" s="5" t="n">
        <v>3</v>
      </c>
      <c r="H31" s="3" t="inlineStr">
        <is>
          <t>OWN_CARTON</t>
        </is>
      </c>
      <c r="I31" s="4" t="inlineStr">
        <is>
          <t>N</t>
        </is>
      </c>
      <c r="J31" s="3" t="inlineStr">
        <is>
          <t>fullboxes_master</t>
        </is>
      </c>
      <c r="K31" s="3" t="inlineStr">
        <is>
          <t>완박스는 자체 카톤 규격으로 출고 처리</t>
        </is>
      </c>
    </row>
    <row r="32">
      <c r="A32" s="3" t="inlineStr">
        <is>
          <t>FBX029</t>
        </is>
      </c>
      <c r="B32" s="5" t="n">
        <v>43</v>
      </c>
      <c r="C32" s="5" t="n">
        <v>37</v>
      </c>
      <c r="D32" s="5" t="n">
        <v>30</v>
      </c>
      <c r="E32" s="59" t="n">
        <v>5.6</v>
      </c>
      <c r="F32" s="5" t="n">
        <v>3</v>
      </c>
      <c r="G32" s="5" t="n">
        <v>3</v>
      </c>
      <c r="H32" s="3" t="inlineStr">
        <is>
          <t>OWN_CARTON</t>
        </is>
      </c>
      <c r="I32" s="4" t="inlineStr">
        <is>
          <t>N</t>
        </is>
      </c>
      <c r="J32" s="3" t="inlineStr">
        <is>
          <t>fullboxes_master</t>
        </is>
      </c>
      <c r="K32" s="3" t="inlineStr">
        <is>
          <t>완박스는 자체 카톤 규격으로 출고 처리</t>
        </is>
      </c>
    </row>
    <row r="33">
      <c r="A33" s="3" t="inlineStr">
        <is>
          <t>FBX030</t>
        </is>
      </c>
      <c r="B33" s="5" t="n">
        <v>43</v>
      </c>
      <c r="C33" s="59" t="n">
        <v>41.5</v>
      </c>
      <c r="D33" s="59" t="n">
        <v>37.5</v>
      </c>
      <c r="E33" s="59" t="n">
        <v>7.55</v>
      </c>
      <c r="F33" s="5" t="n">
        <v>1</v>
      </c>
      <c r="G33" s="5" t="n">
        <v>1</v>
      </c>
      <c r="H33" s="3" t="inlineStr">
        <is>
          <t>OWN_CARTON</t>
        </is>
      </c>
      <c r="I33" s="4" t="inlineStr">
        <is>
          <t>N</t>
        </is>
      </c>
      <c r="J33" s="3" t="inlineStr">
        <is>
          <t>fullboxes_master</t>
        </is>
      </c>
      <c r="K33" s="3" t="inlineStr">
        <is>
          <t>완박스는 자체 카톤 규격으로 출고 처리</t>
        </is>
      </c>
    </row>
    <row r="34">
      <c r="A34" s="3" t="inlineStr">
        <is>
          <t>FBX031</t>
        </is>
      </c>
      <c r="B34" s="59" t="n">
        <v>43.5</v>
      </c>
      <c r="C34" s="59" t="n">
        <v>36.5</v>
      </c>
      <c r="D34" s="59" t="n">
        <v>30.5</v>
      </c>
      <c r="E34" s="59" t="n">
        <v>16.9</v>
      </c>
      <c r="F34" s="5" t="n">
        <v>1</v>
      </c>
      <c r="G34" s="5" t="n">
        <v>1</v>
      </c>
      <c r="H34" s="3" t="inlineStr">
        <is>
          <t>OWN_CARTON</t>
        </is>
      </c>
      <c r="I34" s="4" t="inlineStr">
        <is>
          <t>N</t>
        </is>
      </c>
      <c r="J34" s="3" t="inlineStr">
        <is>
          <t>fullboxes_master</t>
        </is>
      </c>
      <c r="K34" s="3" t="inlineStr">
        <is>
          <t>완박스는 자체 카톤 규격으로 출고 처리</t>
        </is>
      </c>
    </row>
    <row r="35">
      <c r="A35" s="3" t="inlineStr">
        <is>
          <t>FBX032</t>
        </is>
      </c>
      <c r="B35" s="5" t="n">
        <v>45</v>
      </c>
      <c r="C35" s="5" t="n">
        <v>37</v>
      </c>
      <c r="D35" s="5" t="n">
        <v>32</v>
      </c>
      <c r="E35" s="59" t="n">
        <v>5.9</v>
      </c>
      <c r="F35" s="5" t="n">
        <v>1</v>
      </c>
      <c r="G35" s="5" t="n">
        <v>1</v>
      </c>
      <c r="H35" s="3" t="inlineStr">
        <is>
          <t>OWN_CARTON</t>
        </is>
      </c>
      <c r="I35" s="4" t="inlineStr">
        <is>
          <t>N</t>
        </is>
      </c>
      <c r="J35" s="3" t="inlineStr">
        <is>
          <t>fullboxes_master</t>
        </is>
      </c>
      <c r="K35" s="3" t="inlineStr">
        <is>
          <t>완박스는 자체 카톤 규격으로 출고 처리</t>
        </is>
      </c>
    </row>
    <row r="36">
      <c r="A36" s="3" t="inlineStr">
        <is>
          <t>FBX033</t>
        </is>
      </c>
      <c r="B36" s="5" t="n">
        <v>45</v>
      </c>
      <c r="C36" s="5" t="n">
        <v>37</v>
      </c>
      <c r="D36" s="5" t="n">
        <v>32</v>
      </c>
      <c r="E36" s="59" t="n">
        <v>6.1</v>
      </c>
      <c r="F36" s="5" t="n">
        <v>1</v>
      </c>
      <c r="G36" s="5" t="n">
        <v>1</v>
      </c>
      <c r="H36" s="3" t="inlineStr">
        <is>
          <t>OWN_CARTON</t>
        </is>
      </c>
      <c r="I36" s="4" t="inlineStr">
        <is>
          <t>N</t>
        </is>
      </c>
      <c r="J36" s="3" t="inlineStr">
        <is>
          <t>fullboxes_master</t>
        </is>
      </c>
      <c r="K36" s="3" t="inlineStr">
        <is>
          <t>완박스는 자체 카톤 규격으로 출고 처리</t>
        </is>
      </c>
    </row>
    <row r="37">
      <c r="A37" s="3" t="inlineStr">
        <is>
          <t>FBX034</t>
        </is>
      </c>
      <c r="B37" s="5" t="n">
        <v>45</v>
      </c>
      <c r="C37" s="5" t="n">
        <v>37</v>
      </c>
      <c r="D37" s="5" t="n">
        <v>32</v>
      </c>
      <c r="E37" s="59" t="n">
        <v>6.3</v>
      </c>
      <c r="F37" s="5" t="n">
        <v>5</v>
      </c>
      <c r="G37" s="5" t="n">
        <v>5</v>
      </c>
      <c r="H37" s="3" t="inlineStr">
        <is>
          <t>OWN_CARTON</t>
        </is>
      </c>
      <c r="I37" s="4" t="inlineStr">
        <is>
          <t>N</t>
        </is>
      </c>
      <c r="J37" s="3" t="inlineStr">
        <is>
          <t>fullboxes_master</t>
        </is>
      </c>
      <c r="K37" s="3" t="inlineStr">
        <is>
          <t>완박스는 자체 카톤 규격으로 출고 처리</t>
        </is>
      </c>
    </row>
    <row r="38">
      <c r="A38" s="3" t="inlineStr">
        <is>
          <t>FBX035</t>
        </is>
      </c>
      <c r="B38" s="5" t="n">
        <v>45</v>
      </c>
      <c r="C38" s="5" t="n">
        <v>37</v>
      </c>
      <c r="D38" s="5" t="n">
        <v>32</v>
      </c>
      <c r="E38" s="59" t="n">
        <v>6.4</v>
      </c>
      <c r="F38" s="5" t="n">
        <v>4</v>
      </c>
      <c r="G38" s="5" t="n">
        <v>4</v>
      </c>
      <c r="H38" s="3" t="inlineStr">
        <is>
          <t>OWN_CARTON</t>
        </is>
      </c>
      <c r="I38" s="4" t="inlineStr">
        <is>
          <t>N</t>
        </is>
      </c>
      <c r="J38" s="3" t="inlineStr">
        <is>
          <t>fullboxes_master</t>
        </is>
      </c>
      <c r="K38" s="3" t="inlineStr">
        <is>
          <t>완박스는 자체 카톤 규격으로 출고 처리</t>
        </is>
      </c>
    </row>
    <row r="39">
      <c r="A39" s="3" t="inlineStr">
        <is>
          <t>FBX036</t>
        </is>
      </c>
      <c r="B39" s="5" t="n">
        <v>45</v>
      </c>
      <c r="C39" s="5" t="n">
        <v>37</v>
      </c>
      <c r="D39" s="5" t="n">
        <v>32</v>
      </c>
      <c r="E39" s="59" t="n">
        <v>6.95</v>
      </c>
      <c r="F39" s="5" t="n">
        <v>1</v>
      </c>
      <c r="G39" s="5" t="n">
        <v>1</v>
      </c>
      <c r="H39" s="3" t="inlineStr">
        <is>
          <t>OWN_CARTON</t>
        </is>
      </c>
      <c r="I39" s="4" t="inlineStr">
        <is>
          <t>N</t>
        </is>
      </c>
      <c r="J39" s="3" t="inlineStr">
        <is>
          <t>fullboxes_master</t>
        </is>
      </c>
      <c r="K39" s="3" t="inlineStr">
        <is>
          <t>완박스는 자체 카톤 규격으로 출고 처리</t>
        </is>
      </c>
    </row>
    <row r="40">
      <c r="A40" s="3" t="inlineStr">
        <is>
          <t>FBX037</t>
        </is>
      </c>
      <c r="B40" s="5" t="n">
        <v>45</v>
      </c>
      <c r="C40" s="5" t="n">
        <v>37</v>
      </c>
      <c r="D40" s="5" t="n">
        <v>32</v>
      </c>
      <c r="E40" s="59" t="n">
        <v>10.5</v>
      </c>
      <c r="F40" s="5" t="n">
        <v>1</v>
      </c>
      <c r="G40" s="5" t="n">
        <v>1</v>
      </c>
      <c r="H40" s="3" t="inlineStr">
        <is>
          <t>OWN_CARTON</t>
        </is>
      </c>
      <c r="I40" s="4" t="inlineStr">
        <is>
          <t>N</t>
        </is>
      </c>
      <c r="J40" s="3" t="inlineStr">
        <is>
          <t>fullboxes_master</t>
        </is>
      </c>
      <c r="K40" s="3" t="inlineStr">
        <is>
          <t>완박스는 자체 카톤 규격으로 출고 처리</t>
        </is>
      </c>
    </row>
    <row r="41">
      <c r="A41" s="3" t="inlineStr">
        <is>
          <t>FBX038</t>
        </is>
      </c>
      <c r="B41" s="59" t="n">
        <v>45.5</v>
      </c>
      <c r="C41" s="5" t="n">
        <v>37</v>
      </c>
      <c r="D41" s="59" t="n">
        <v>32.5</v>
      </c>
      <c r="E41" s="59" t="n">
        <v>6.3</v>
      </c>
      <c r="F41" s="5" t="n">
        <v>4</v>
      </c>
      <c r="G41" s="5" t="n">
        <v>4</v>
      </c>
      <c r="H41" s="3" t="inlineStr">
        <is>
          <t>OWN_CARTON</t>
        </is>
      </c>
      <c r="I41" s="4" t="inlineStr">
        <is>
          <t>N</t>
        </is>
      </c>
      <c r="J41" s="3" t="inlineStr">
        <is>
          <t>fullboxes_master</t>
        </is>
      </c>
      <c r="K41" s="3" t="inlineStr">
        <is>
          <t>완박스는 자체 카톤 규격으로 출고 처리</t>
        </is>
      </c>
    </row>
    <row r="42">
      <c r="A42" s="3" t="inlineStr">
        <is>
          <t>FBX039</t>
        </is>
      </c>
      <c r="B42" s="59" t="n">
        <v>45.5</v>
      </c>
      <c r="C42" s="5" t="n">
        <v>39</v>
      </c>
      <c r="D42" s="5" t="n">
        <v>37</v>
      </c>
      <c r="E42" s="59" t="n">
        <v>17.6</v>
      </c>
      <c r="F42" s="5" t="n">
        <v>1</v>
      </c>
      <c r="G42" s="5" t="n">
        <v>1</v>
      </c>
      <c r="H42" s="3" t="inlineStr">
        <is>
          <t>OWN_CARTON</t>
        </is>
      </c>
      <c r="I42" s="4" t="inlineStr">
        <is>
          <t>N</t>
        </is>
      </c>
      <c r="J42" s="3" t="inlineStr">
        <is>
          <t>fullboxes_master</t>
        </is>
      </c>
      <c r="K42" s="3" t="inlineStr">
        <is>
          <t>완박스는 자체 카톤 규격으로 출고 처리</t>
        </is>
      </c>
    </row>
    <row r="43">
      <c r="A43" s="3" t="inlineStr">
        <is>
          <t>FBX040</t>
        </is>
      </c>
      <c r="B43" s="59" t="n">
        <v>45.5</v>
      </c>
      <c r="C43" s="5" t="n">
        <v>39</v>
      </c>
      <c r="D43" s="5" t="n">
        <v>37</v>
      </c>
      <c r="E43" s="59" t="n">
        <v>17.9</v>
      </c>
      <c r="F43" s="5" t="n">
        <v>1</v>
      </c>
      <c r="G43" s="5" t="n">
        <v>1</v>
      </c>
      <c r="H43" s="3" t="inlineStr">
        <is>
          <t>OWN_CARTON</t>
        </is>
      </c>
      <c r="I43" s="4" t="inlineStr">
        <is>
          <t>N</t>
        </is>
      </c>
      <c r="J43" s="3" t="inlineStr">
        <is>
          <t>fullboxes_master</t>
        </is>
      </c>
      <c r="K43" s="3" t="inlineStr">
        <is>
          <t>완박스는 자체 카톤 규격으로 출고 처리</t>
        </is>
      </c>
    </row>
    <row r="44">
      <c r="A44" s="3" t="inlineStr">
        <is>
          <t>FBX041</t>
        </is>
      </c>
      <c r="B44" s="5" t="n">
        <v>46</v>
      </c>
      <c r="C44" s="5" t="n">
        <v>37</v>
      </c>
      <c r="D44" s="5" t="n">
        <v>32</v>
      </c>
      <c r="E44" s="59" t="n">
        <v>5.8</v>
      </c>
      <c r="F44" s="5" t="n">
        <v>1</v>
      </c>
      <c r="G44" s="5" t="n">
        <v>1</v>
      </c>
      <c r="H44" s="3" t="inlineStr">
        <is>
          <t>OWN_CARTON</t>
        </is>
      </c>
      <c r="I44" s="4" t="inlineStr">
        <is>
          <t>N</t>
        </is>
      </c>
      <c r="J44" s="3" t="inlineStr">
        <is>
          <t>fullboxes_master</t>
        </is>
      </c>
      <c r="K44" s="3" t="inlineStr">
        <is>
          <t>완박스는 자체 카톤 규격으로 출고 처리</t>
        </is>
      </c>
    </row>
    <row r="45">
      <c r="A45" s="3" t="inlineStr">
        <is>
          <t>FBX042</t>
        </is>
      </c>
      <c r="B45" s="5" t="n">
        <v>46</v>
      </c>
      <c r="C45" s="5" t="n">
        <v>37</v>
      </c>
      <c r="D45" s="5" t="n">
        <v>32</v>
      </c>
      <c r="E45" s="59" t="n">
        <v>6.1</v>
      </c>
      <c r="F45" s="5" t="n">
        <v>3</v>
      </c>
      <c r="G45" s="5" t="n">
        <v>3</v>
      </c>
      <c r="H45" s="3" t="inlineStr">
        <is>
          <t>OWN_CARTON</t>
        </is>
      </c>
      <c r="I45" s="4" t="inlineStr">
        <is>
          <t>N</t>
        </is>
      </c>
      <c r="J45" s="3" t="inlineStr">
        <is>
          <t>fullboxes_master</t>
        </is>
      </c>
      <c r="K45" s="3" t="inlineStr">
        <is>
          <t>완박스는 자체 카톤 규격으로 출고 처리</t>
        </is>
      </c>
    </row>
    <row r="46">
      <c r="A46" s="3" t="inlineStr">
        <is>
          <t>FBX043</t>
        </is>
      </c>
      <c r="B46" s="5" t="n">
        <v>46</v>
      </c>
      <c r="C46" s="5" t="n">
        <v>37</v>
      </c>
      <c r="D46" s="5" t="n">
        <v>32</v>
      </c>
      <c r="E46" s="59" t="n">
        <v>6.2</v>
      </c>
      <c r="F46" s="5" t="n">
        <v>5</v>
      </c>
      <c r="G46" s="5" t="n">
        <v>5</v>
      </c>
      <c r="H46" s="3" t="inlineStr">
        <is>
          <t>OWN_CARTON</t>
        </is>
      </c>
      <c r="I46" s="4" t="inlineStr">
        <is>
          <t>N</t>
        </is>
      </c>
      <c r="J46" s="3" t="inlineStr">
        <is>
          <t>fullboxes_master</t>
        </is>
      </c>
      <c r="K46" s="3" t="inlineStr">
        <is>
          <t>완박스는 자체 카톤 규격으로 출고 처리</t>
        </is>
      </c>
    </row>
    <row r="47">
      <c r="A47" s="3" t="inlineStr">
        <is>
          <t>FBX044</t>
        </is>
      </c>
      <c r="B47" s="5" t="n">
        <v>46</v>
      </c>
      <c r="C47" s="5" t="n">
        <v>37</v>
      </c>
      <c r="D47" s="5" t="n">
        <v>32</v>
      </c>
      <c r="E47" s="59" t="n">
        <v>6.3</v>
      </c>
      <c r="F47" s="5" t="n">
        <v>1</v>
      </c>
      <c r="G47" s="5" t="n">
        <v>1</v>
      </c>
      <c r="H47" s="3" t="inlineStr">
        <is>
          <t>OWN_CARTON</t>
        </is>
      </c>
      <c r="I47" s="4" t="inlineStr">
        <is>
          <t>N</t>
        </is>
      </c>
      <c r="J47" s="3" t="inlineStr">
        <is>
          <t>fullboxes_master</t>
        </is>
      </c>
      <c r="K47" s="3" t="inlineStr">
        <is>
          <t>완박스는 자체 카톤 규격으로 출고 처리</t>
        </is>
      </c>
    </row>
    <row r="48">
      <c r="A48" s="3" t="inlineStr">
        <is>
          <t>FBX045</t>
        </is>
      </c>
      <c r="B48" s="5" t="n">
        <v>46</v>
      </c>
      <c r="C48" s="5" t="n">
        <v>37</v>
      </c>
      <c r="D48" s="5" t="n">
        <v>32</v>
      </c>
      <c r="E48" s="59" t="n">
        <v>6.4</v>
      </c>
      <c r="F48" s="5" t="n">
        <v>1</v>
      </c>
      <c r="G48" s="5" t="n">
        <v>1</v>
      </c>
      <c r="H48" s="3" t="inlineStr">
        <is>
          <t>OWN_CARTON</t>
        </is>
      </c>
      <c r="I48" s="4" t="inlineStr">
        <is>
          <t>N</t>
        </is>
      </c>
      <c r="J48" s="3" t="inlineStr">
        <is>
          <t>fullboxes_master</t>
        </is>
      </c>
      <c r="K48" s="3" t="inlineStr">
        <is>
          <t>완박스는 자체 카톤 규격으로 출고 처리</t>
        </is>
      </c>
    </row>
    <row r="49">
      <c r="A49" s="3" t="inlineStr">
        <is>
          <t>FBX046</t>
        </is>
      </c>
      <c r="B49" s="5" t="n">
        <v>46</v>
      </c>
      <c r="C49" s="5" t="n">
        <v>37</v>
      </c>
      <c r="D49" s="5" t="n">
        <v>32</v>
      </c>
      <c r="E49" s="5" t="n">
        <v>11</v>
      </c>
      <c r="F49" s="5" t="n">
        <v>1</v>
      </c>
      <c r="G49" s="5" t="n">
        <v>1</v>
      </c>
      <c r="H49" s="3" t="inlineStr">
        <is>
          <t>OWN_CARTON</t>
        </is>
      </c>
      <c r="I49" s="4" t="inlineStr">
        <is>
          <t>N</t>
        </is>
      </c>
      <c r="J49" s="3" t="inlineStr">
        <is>
          <t>fullboxes_master</t>
        </is>
      </c>
      <c r="K49" s="3" t="inlineStr">
        <is>
          <t>완박스는 자체 카톤 규격으로 출고 처리</t>
        </is>
      </c>
    </row>
    <row r="50">
      <c r="A50" s="3" t="inlineStr">
        <is>
          <t>FBX047</t>
        </is>
      </c>
      <c r="B50" s="5" t="n">
        <v>46</v>
      </c>
      <c r="C50" s="5" t="n">
        <v>37</v>
      </c>
      <c r="D50" s="5" t="n">
        <v>32</v>
      </c>
      <c r="E50" s="59" t="n">
        <v>11.2</v>
      </c>
      <c r="F50" s="5" t="n">
        <v>1</v>
      </c>
      <c r="G50" s="5" t="n">
        <v>1</v>
      </c>
      <c r="H50" s="3" t="inlineStr">
        <is>
          <t>OWN_CARTON</t>
        </is>
      </c>
      <c r="I50" s="4" t="inlineStr">
        <is>
          <t>N</t>
        </is>
      </c>
      <c r="J50" s="3" t="inlineStr">
        <is>
          <t>fullboxes_master</t>
        </is>
      </c>
      <c r="K50" s="3" t="inlineStr">
        <is>
          <t>완박스는 자체 카톤 규격으로 출고 처리</t>
        </is>
      </c>
    </row>
    <row r="51">
      <c r="A51" s="3" t="inlineStr">
        <is>
          <t>FBX048</t>
        </is>
      </c>
      <c r="B51" s="5" t="n">
        <v>46</v>
      </c>
      <c r="C51" s="5" t="n">
        <v>37</v>
      </c>
      <c r="D51" s="5" t="n">
        <v>32</v>
      </c>
      <c r="E51" s="59" t="n">
        <v>11.5</v>
      </c>
      <c r="F51" s="5" t="n">
        <v>1</v>
      </c>
      <c r="G51" s="5" t="n">
        <v>1</v>
      </c>
      <c r="H51" s="3" t="inlineStr">
        <is>
          <t>OWN_CARTON</t>
        </is>
      </c>
      <c r="I51" s="4" t="inlineStr">
        <is>
          <t>N</t>
        </is>
      </c>
      <c r="J51" s="3" t="inlineStr">
        <is>
          <t>fullboxes_master</t>
        </is>
      </c>
      <c r="K51" s="3" t="inlineStr">
        <is>
          <t>완박스는 자체 카톤 규격으로 출고 처리</t>
        </is>
      </c>
    </row>
    <row r="52">
      <c r="A52" s="3" t="inlineStr">
        <is>
          <t>FBX049</t>
        </is>
      </c>
      <c r="B52" s="5" t="n">
        <v>46</v>
      </c>
      <c r="C52" s="5" t="n">
        <v>39</v>
      </c>
      <c r="D52" s="5" t="n">
        <v>37</v>
      </c>
      <c r="E52" s="59" t="n">
        <v>17.3</v>
      </c>
      <c r="F52" s="5" t="n">
        <v>1</v>
      </c>
      <c r="G52" s="5" t="n">
        <v>1</v>
      </c>
      <c r="H52" s="3" t="inlineStr">
        <is>
          <t>OWN_CARTON</t>
        </is>
      </c>
      <c r="I52" s="4" t="inlineStr">
        <is>
          <t>N</t>
        </is>
      </c>
      <c r="J52" s="3" t="inlineStr">
        <is>
          <t>fullboxes_master</t>
        </is>
      </c>
      <c r="K52" s="3" t="inlineStr">
        <is>
          <t>완박스는 자체 카톤 규격으로 출고 처리</t>
        </is>
      </c>
    </row>
    <row r="53">
      <c r="A53" s="3" t="inlineStr">
        <is>
          <t>FBX050</t>
        </is>
      </c>
      <c r="B53" s="59" t="n">
        <v>46.5</v>
      </c>
      <c r="C53" s="5" t="n">
        <v>39</v>
      </c>
      <c r="D53" s="59" t="n">
        <v>37.5</v>
      </c>
      <c r="E53" s="59" t="n">
        <v>13.85</v>
      </c>
      <c r="F53" s="5" t="n">
        <v>1</v>
      </c>
      <c r="G53" s="5" t="n">
        <v>1</v>
      </c>
      <c r="H53" s="3" t="inlineStr">
        <is>
          <t>OWN_CARTON</t>
        </is>
      </c>
      <c r="I53" s="4" t="inlineStr">
        <is>
          <t>N</t>
        </is>
      </c>
      <c r="J53" s="3" t="inlineStr">
        <is>
          <t>fullboxes_master</t>
        </is>
      </c>
      <c r="K53" s="3" t="inlineStr">
        <is>
          <t>완박스는 자체 카톤 규격으로 출고 처리</t>
        </is>
      </c>
    </row>
    <row r="54">
      <c r="A54" s="3" t="inlineStr">
        <is>
          <t>FBX051</t>
        </is>
      </c>
      <c r="B54" s="5" t="n">
        <v>47</v>
      </c>
      <c r="C54" s="59" t="n">
        <v>39.5</v>
      </c>
      <c r="D54" s="5" t="n">
        <v>28</v>
      </c>
      <c r="E54" s="59" t="n">
        <v>12.6</v>
      </c>
      <c r="F54" s="5" t="n">
        <v>1</v>
      </c>
      <c r="G54" s="5" t="n">
        <v>1</v>
      </c>
      <c r="H54" s="3" t="inlineStr">
        <is>
          <t>OWN_CARTON</t>
        </is>
      </c>
      <c r="I54" s="4" t="inlineStr">
        <is>
          <t>N</t>
        </is>
      </c>
      <c r="J54" s="3" t="inlineStr">
        <is>
          <t>fullboxes_master</t>
        </is>
      </c>
      <c r="K54" s="3" t="inlineStr">
        <is>
          <t>완박스는 자체 카톤 규격으로 출고 처리</t>
        </is>
      </c>
    </row>
    <row r="55">
      <c r="A55" s="3" t="inlineStr">
        <is>
          <t>FBX052</t>
        </is>
      </c>
      <c r="B55" s="59" t="n">
        <v>47.5</v>
      </c>
      <c r="C55" s="5" t="n">
        <v>38</v>
      </c>
      <c r="D55" s="5" t="n">
        <v>34</v>
      </c>
      <c r="E55" s="59" t="n">
        <v>16.2</v>
      </c>
      <c r="F55" s="5" t="n">
        <v>1</v>
      </c>
      <c r="G55" s="5" t="n">
        <v>1</v>
      </c>
      <c r="H55" s="3" t="inlineStr">
        <is>
          <t>OWN_CARTON</t>
        </is>
      </c>
      <c r="I55" s="4" t="inlineStr">
        <is>
          <t>N</t>
        </is>
      </c>
      <c r="J55" s="3" t="inlineStr">
        <is>
          <t>fullboxes_master</t>
        </is>
      </c>
      <c r="K55" s="3" t="inlineStr">
        <is>
          <t>완박스는 자체 카톤 규격으로 출고 처리</t>
        </is>
      </c>
    </row>
    <row r="56">
      <c r="A56" s="3" t="inlineStr">
        <is>
          <t>FBX053</t>
        </is>
      </c>
      <c r="B56" s="5" t="n">
        <v>48</v>
      </c>
      <c r="C56" s="5" t="n">
        <v>36</v>
      </c>
      <c r="D56" s="5" t="n">
        <v>32</v>
      </c>
      <c r="E56" s="59" t="n">
        <v>9.4</v>
      </c>
      <c r="F56" s="5" t="n">
        <v>1</v>
      </c>
      <c r="G56" s="5" t="n">
        <v>1</v>
      </c>
      <c r="H56" s="3" t="inlineStr">
        <is>
          <t>OWN_CARTON</t>
        </is>
      </c>
      <c r="I56" s="4" t="inlineStr">
        <is>
          <t>N</t>
        </is>
      </c>
      <c r="J56" s="3" t="inlineStr">
        <is>
          <t>fullboxes_master</t>
        </is>
      </c>
      <c r="K56" s="3" t="inlineStr">
        <is>
          <t>완박스는 자체 카톤 규격으로 출고 처리</t>
        </is>
      </c>
    </row>
    <row r="57">
      <c r="A57" s="3" t="inlineStr">
        <is>
          <t>FBX054</t>
        </is>
      </c>
      <c r="B57" s="5" t="n">
        <v>48</v>
      </c>
      <c r="C57" s="5" t="n">
        <v>39</v>
      </c>
      <c r="D57" s="5" t="n">
        <v>34</v>
      </c>
      <c r="E57" s="59" t="n">
        <v>16.25</v>
      </c>
      <c r="F57" s="5" t="n">
        <v>1</v>
      </c>
      <c r="G57" s="5" t="n">
        <v>1</v>
      </c>
      <c r="H57" s="3" t="inlineStr">
        <is>
          <t>OWN_CARTON</t>
        </is>
      </c>
      <c r="I57" s="4" t="inlineStr">
        <is>
          <t>N</t>
        </is>
      </c>
      <c r="J57" s="3" t="inlineStr">
        <is>
          <t>fullboxes_master</t>
        </is>
      </c>
      <c r="K57" s="3" t="inlineStr">
        <is>
          <t>완박스는 자체 카톤 규격으로 출고 처리</t>
        </is>
      </c>
    </row>
    <row r="58">
      <c r="A58" s="3" t="inlineStr">
        <is>
          <t>FBX055</t>
        </is>
      </c>
      <c r="B58" s="5" t="n">
        <v>48</v>
      </c>
      <c r="C58" s="5" t="n">
        <v>39</v>
      </c>
      <c r="D58" s="5" t="n">
        <v>34</v>
      </c>
      <c r="E58" s="59" t="n">
        <v>22.15</v>
      </c>
      <c r="F58" s="5" t="n">
        <v>1</v>
      </c>
      <c r="G58" s="5" t="n">
        <v>1</v>
      </c>
      <c r="H58" s="3" t="inlineStr">
        <is>
          <t>OWN_CARTON</t>
        </is>
      </c>
      <c r="I58" s="4" t="inlineStr">
        <is>
          <t>N</t>
        </is>
      </c>
      <c r="J58" s="3" t="inlineStr">
        <is>
          <t>fullboxes_master</t>
        </is>
      </c>
      <c r="K58" s="3" t="inlineStr">
        <is>
          <t>완박스는 자체 카톤 규격으로 출고 처리</t>
        </is>
      </c>
    </row>
    <row r="59">
      <c r="A59" s="3" t="inlineStr">
        <is>
          <t>FBX056</t>
        </is>
      </c>
      <c r="B59" s="5" t="n">
        <v>48</v>
      </c>
      <c r="C59" s="5" t="n">
        <v>40</v>
      </c>
      <c r="D59" s="5" t="n">
        <v>38</v>
      </c>
      <c r="E59" s="59" t="n">
        <v>8.199999999999999</v>
      </c>
      <c r="F59" s="5" t="n">
        <v>1</v>
      </c>
      <c r="G59" s="5" t="n">
        <v>1</v>
      </c>
      <c r="H59" s="3" t="inlineStr">
        <is>
          <t>OWN_CARTON</t>
        </is>
      </c>
      <c r="I59" s="4" t="inlineStr">
        <is>
          <t>N</t>
        </is>
      </c>
      <c r="J59" s="3" t="inlineStr">
        <is>
          <t>fullboxes_master</t>
        </is>
      </c>
      <c r="K59" s="3" t="inlineStr">
        <is>
          <t>완박스는 자체 카톤 규격으로 출고 처리</t>
        </is>
      </c>
    </row>
    <row r="60">
      <c r="A60" s="3" t="inlineStr">
        <is>
          <t>FBX057</t>
        </is>
      </c>
      <c r="B60" s="59" t="n">
        <v>48.5</v>
      </c>
      <c r="C60" s="59" t="n">
        <v>18.5</v>
      </c>
      <c r="D60" s="5" t="n">
        <v>17</v>
      </c>
      <c r="E60" s="59" t="n">
        <v>2.9</v>
      </c>
      <c r="F60" s="5" t="n">
        <v>1</v>
      </c>
      <c r="G60" s="5" t="n">
        <v>1</v>
      </c>
      <c r="H60" s="3" t="inlineStr">
        <is>
          <t>OWN_CARTON</t>
        </is>
      </c>
      <c r="I60" s="4" t="inlineStr">
        <is>
          <t>N</t>
        </is>
      </c>
      <c r="J60" s="3" t="inlineStr">
        <is>
          <t>fullboxes_master</t>
        </is>
      </c>
      <c r="K60" s="3" t="inlineStr">
        <is>
          <t>완박스는 자체 카톤 규격으로 출고 처리</t>
        </is>
      </c>
    </row>
    <row r="61">
      <c r="A61" s="3" t="inlineStr">
        <is>
          <t>FBX058</t>
        </is>
      </c>
      <c r="B61" s="5" t="n">
        <v>49</v>
      </c>
      <c r="C61" s="59" t="n">
        <v>18.5</v>
      </c>
      <c r="D61" s="5" t="n">
        <v>17</v>
      </c>
      <c r="E61" s="59" t="n">
        <v>2.9</v>
      </c>
      <c r="F61" s="5" t="n">
        <v>2</v>
      </c>
      <c r="G61" s="5" t="n">
        <v>2</v>
      </c>
      <c r="H61" s="3" t="inlineStr">
        <is>
          <t>OWN_CARTON</t>
        </is>
      </c>
      <c r="I61" s="4" t="inlineStr">
        <is>
          <t>N</t>
        </is>
      </c>
      <c r="J61" s="3" t="inlineStr">
        <is>
          <t>fullboxes_master</t>
        </is>
      </c>
      <c r="K61" s="3" t="inlineStr">
        <is>
          <t>완박스는 자체 카톤 규격으로 출고 처리</t>
        </is>
      </c>
    </row>
    <row r="62">
      <c r="A62" s="3" t="inlineStr">
        <is>
          <t>FBX059</t>
        </is>
      </c>
      <c r="B62" s="5" t="n">
        <v>49</v>
      </c>
      <c r="C62" s="5" t="n">
        <v>40</v>
      </c>
      <c r="D62" s="5" t="n">
        <v>31</v>
      </c>
      <c r="E62" s="59" t="n">
        <v>12.15</v>
      </c>
      <c r="F62" s="5" t="n">
        <v>2</v>
      </c>
      <c r="G62" s="5" t="n">
        <v>2</v>
      </c>
      <c r="H62" s="3" t="inlineStr">
        <is>
          <t>OWN_CARTON</t>
        </is>
      </c>
      <c r="I62" s="4" t="inlineStr">
        <is>
          <t>N</t>
        </is>
      </c>
      <c r="J62" s="3" t="inlineStr">
        <is>
          <t>fullboxes_master</t>
        </is>
      </c>
      <c r="K62" s="3" t="inlineStr">
        <is>
          <t>완박스는 자체 카톤 규격으로 출고 처리</t>
        </is>
      </c>
    </row>
    <row r="63">
      <c r="A63" s="3" t="inlineStr">
        <is>
          <t>FBX060</t>
        </is>
      </c>
      <c r="B63" s="5" t="n">
        <v>50</v>
      </c>
      <c r="C63" s="5" t="n">
        <v>44</v>
      </c>
      <c r="D63" s="5" t="n">
        <v>32</v>
      </c>
      <c r="E63" s="59" t="n">
        <v>6.32</v>
      </c>
      <c r="F63" s="5" t="n">
        <v>3</v>
      </c>
      <c r="G63" s="5" t="n">
        <v>3</v>
      </c>
      <c r="H63" s="3" t="inlineStr">
        <is>
          <t>OWN_CARTON</t>
        </is>
      </c>
      <c r="I63" s="4" t="inlineStr">
        <is>
          <t>N</t>
        </is>
      </c>
      <c r="J63" s="3" t="inlineStr">
        <is>
          <t>fullboxes_master</t>
        </is>
      </c>
      <c r="K63" s="3" t="inlineStr">
        <is>
          <t>완박스는 자체 카톤 규격으로 출고 처리</t>
        </is>
      </c>
    </row>
    <row r="64">
      <c r="A64" s="3" t="inlineStr">
        <is>
          <t>FBX061</t>
        </is>
      </c>
      <c r="B64" s="5" t="n">
        <v>50</v>
      </c>
      <c r="C64" s="5" t="n">
        <v>48</v>
      </c>
      <c r="D64" s="59" t="n">
        <v>30.5</v>
      </c>
      <c r="E64" s="59" t="n">
        <v>8.550000000000001</v>
      </c>
      <c r="F64" s="5" t="n">
        <v>1</v>
      </c>
      <c r="G64" s="5" t="n">
        <v>1</v>
      </c>
      <c r="H64" s="3" t="inlineStr">
        <is>
          <t>OWN_CARTON</t>
        </is>
      </c>
      <c r="I64" s="4" t="inlineStr">
        <is>
          <t>N</t>
        </is>
      </c>
      <c r="J64" s="3" t="inlineStr">
        <is>
          <t>fullboxes_master</t>
        </is>
      </c>
      <c r="K64" s="3" t="inlineStr">
        <is>
          <t>완박스는 자체 카톤 규격으로 출고 처리</t>
        </is>
      </c>
    </row>
    <row r="65">
      <c r="A65" s="3" t="inlineStr">
        <is>
          <t>FBX062</t>
        </is>
      </c>
      <c r="B65" s="5" t="n">
        <v>50</v>
      </c>
      <c r="C65" s="5" t="n">
        <v>48</v>
      </c>
      <c r="D65" s="5" t="n">
        <v>31</v>
      </c>
      <c r="E65" s="59" t="n">
        <v>8.1</v>
      </c>
      <c r="F65" s="5" t="n">
        <v>1</v>
      </c>
      <c r="G65" s="5" t="n">
        <v>1</v>
      </c>
      <c r="H65" s="3" t="inlineStr">
        <is>
          <t>OWN_CARTON</t>
        </is>
      </c>
      <c r="I65" s="4" t="inlineStr">
        <is>
          <t>N</t>
        </is>
      </c>
      <c r="J65" s="3" t="inlineStr">
        <is>
          <t>fullboxes_master</t>
        </is>
      </c>
      <c r="K65" s="3" t="inlineStr">
        <is>
          <t>완박스는 자체 카톤 규격으로 출고 처리</t>
        </is>
      </c>
    </row>
    <row r="66">
      <c r="A66" s="3" t="inlineStr">
        <is>
          <t>FBX063</t>
        </is>
      </c>
      <c r="B66" s="5" t="n">
        <v>51</v>
      </c>
      <c r="C66" s="5" t="n">
        <v>27</v>
      </c>
      <c r="D66" s="5" t="n">
        <v>21</v>
      </c>
      <c r="E66" s="59" t="n">
        <v>13.7</v>
      </c>
      <c r="F66" s="5" t="n">
        <v>1</v>
      </c>
      <c r="G66" s="5" t="n">
        <v>1</v>
      </c>
      <c r="H66" s="3" t="inlineStr">
        <is>
          <t>OWN_CARTON</t>
        </is>
      </c>
      <c r="I66" s="4" t="inlineStr">
        <is>
          <t>N</t>
        </is>
      </c>
      <c r="J66" s="3" t="inlineStr">
        <is>
          <t>fullboxes_master</t>
        </is>
      </c>
      <c r="K66" s="3" t="inlineStr">
        <is>
          <t>완박스는 자체 카톤 규격으로 출고 처리</t>
        </is>
      </c>
    </row>
    <row r="67">
      <c r="A67" s="3" t="inlineStr">
        <is>
          <t>FBX064</t>
        </is>
      </c>
      <c r="B67" s="5" t="n">
        <v>51</v>
      </c>
      <c r="C67" s="5" t="n">
        <v>49</v>
      </c>
      <c r="D67" s="5" t="n">
        <v>40</v>
      </c>
      <c r="E67" s="59" t="n">
        <v>9.4</v>
      </c>
      <c r="F67" s="5" t="n">
        <v>3</v>
      </c>
      <c r="G67" s="5" t="n">
        <v>3</v>
      </c>
      <c r="H67" s="3" t="inlineStr">
        <is>
          <t>OWN_CARTON</t>
        </is>
      </c>
      <c r="I67" s="4" t="inlineStr">
        <is>
          <t>N</t>
        </is>
      </c>
      <c r="J67" s="3" t="inlineStr">
        <is>
          <t>fullboxes_master</t>
        </is>
      </c>
      <c r="K67" s="3" t="inlineStr">
        <is>
          <t>완박스는 자체 카톤 규격으로 출고 처리</t>
        </is>
      </c>
    </row>
    <row r="68">
      <c r="A68" s="3" t="inlineStr">
        <is>
          <t>FBX065</t>
        </is>
      </c>
      <c r="B68" s="5" t="n">
        <v>52</v>
      </c>
      <c r="C68" s="5" t="n">
        <v>42</v>
      </c>
      <c r="D68" s="5" t="n">
        <v>42</v>
      </c>
      <c r="E68" s="59" t="n">
        <v>9.6</v>
      </c>
      <c r="F68" s="5" t="n">
        <v>6</v>
      </c>
      <c r="G68" s="5" t="n">
        <v>6</v>
      </c>
      <c r="H68" s="3" t="inlineStr">
        <is>
          <t>OWN_CARTON</t>
        </is>
      </c>
      <c r="I68" s="4" t="inlineStr">
        <is>
          <t>N</t>
        </is>
      </c>
      <c r="J68" s="3" t="inlineStr">
        <is>
          <t>fullboxes_master</t>
        </is>
      </c>
      <c r="K68" s="3" t="inlineStr">
        <is>
          <t>완박스는 자체 카톤 규격으로 출고 처리</t>
        </is>
      </c>
    </row>
    <row r="69">
      <c r="A69" s="3" t="inlineStr">
        <is>
          <t>FBX066</t>
        </is>
      </c>
      <c r="B69" s="5" t="n">
        <v>53</v>
      </c>
      <c r="C69" s="5" t="n">
        <v>34</v>
      </c>
      <c r="D69" s="5" t="n">
        <v>21</v>
      </c>
      <c r="E69" s="59" t="n">
        <v>3.8</v>
      </c>
      <c r="F69" s="5" t="n">
        <v>1</v>
      </c>
      <c r="G69" s="5" t="n">
        <v>1</v>
      </c>
      <c r="H69" s="3" t="inlineStr">
        <is>
          <t>OWN_CARTON</t>
        </is>
      </c>
      <c r="I69" s="4" t="inlineStr">
        <is>
          <t>N</t>
        </is>
      </c>
      <c r="J69" s="3" t="inlineStr">
        <is>
          <t>fullboxes_master</t>
        </is>
      </c>
      <c r="K69" s="3" t="inlineStr">
        <is>
          <t>완박스는 자체 카톤 규격으로 출고 처리</t>
        </is>
      </c>
    </row>
    <row r="70">
      <c r="A70" s="3" t="inlineStr">
        <is>
          <t>FBX067</t>
        </is>
      </c>
      <c r="B70" s="5" t="n">
        <v>53</v>
      </c>
      <c r="C70" s="5" t="n">
        <v>37</v>
      </c>
      <c r="D70" s="5" t="n">
        <v>34</v>
      </c>
      <c r="E70" s="59" t="n">
        <v>23.4</v>
      </c>
      <c r="F70" s="5" t="n">
        <v>1</v>
      </c>
      <c r="G70" s="5" t="n">
        <v>1</v>
      </c>
      <c r="H70" s="3" t="inlineStr">
        <is>
          <t>OWN_CARTON</t>
        </is>
      </c>
      <c r="I70" s="4" t="inlineStr">
        <is>
          <t>N</t>
        </is>
      </c>
      <c r="J70" s="3" t="inlineStr">
        <is>
          <t>fullboxes_master</t>
        </is>
      </c>
      <c r="K70" s="3" t="inlineStr">
        <is>
          <t>완박스는 자체 카톤 규격으로 출고 처리</t>
        </is>
      </c>
    </row>
    <row r="71">
      <c r="A71" s="3" t="inlineStr">
        <is>
          <t>FBX068</t>
        </is>
      </c>
      <c r="B71" s="5" t="n">
        <v>55</v>
      </c>
      <c r="C71" s="5" t="n">
        <v>27</v>
      </c>
      <c r="D71" s="5" t="n">
        <v>30</v>
      </c>
      <c r="E71" s="5" t="n">
        <v>10</v>
      </c>
      <c r="F71" s="5" t="n">
        <v>1</v>
      </c>
      <c r="G71" s="5" t="n">
        <v>1</v>
      </c>
      <c r="H71" s="3" t="inlineStr">
        <is>
          <t>OWN_CARTON</t>
        </is>
      </c>
      <c r="I71" s="4" t="inlineStr">
        <is>
          <t>N</t>
        </is>
      </c>
      <c r="J71" s="3" t="inlineStr">
        <is>
          <t>fullboxes_master</t>
        </is>
      </c>
      <c r="K71" s="3" t="inlineStr">
        <is>
          <t>완박스는 자체 카톤 규격으로 출고 처리</t>
        </is>
      </c>
    </row>
    <row r="72">
      <c r="A72" s="3" t="inlineStr">
        <is>
          <t>FBX069</t>
        </is>
      </c>
      <c r="B72" s="5" t="n">
        <v>55</v>
      </c>
      <c r="C72" s="5" t="n">
        <v>34</v>
      </c>
      <c r="D72" s="5" t="n">
        <v>18</v>
      </c>
      <c r="E72" s="59" t="n">
        <v>7.1</v>
      </c>
      <c r="F72" s="5" t="n">
        <v>1</v>
      </c>
      <c r="G72" s="5" t="n">
        <v>1</v>
      </c>
      <c r="H72" s="3" t="inlineStr">
        <is>
          <t>OWN_CARTON</t>
        </is>
      </c>
      <c r="I72" s="4" t="inlineStr">
        <is>
          <t>N</t>
        </is>
      </c>
      <c r="J72" s="3" t="inlineStr">
        <is>
          <t>fullboxes_master</t>
        </is>
      </c>
      <c r="K72" s="3" t="inlineStr">
        <is>
          <t>완박스는 자체 카톤 규격으로 출고 처리</t>
        </is>
      </c>
    </row>
    <row r="73">
      <c r="A73" s="3" t="inlineStr">
        <is>
          <t>FBX070</t>
        </is>
      </c>
      <c r="B73" s="5" t="n">
        <v>55</v>
      </c>
      <c r="C73" s="5" t="n">
        <v>35</v>
      </c>
      <c r="D73" s="5" t="n">
        <v>20</v>
      </c>
      <c r="E73" s="59" t="n">
        <v>8.199999999999999</v>
      </c>
      <c r="F73" s="5" t="n">
        <v>1</v>
      </c>
      <c r="G73" s="5" t="n">
        <v>1</v>
      </c>
      <c r="H73" s="3" t="inlineStr">
        <is>
          <t>OWN_CARTON</t>
        </is>
      </c>
      <c r="I73" s="4" t="inlineStr">
        <is>
          <t>N</t>
        </is>
      </c>
      <c r="J73" s="3" t="inlineStr">
        <is>
          <t>fullboxes_master</t>
        </is>
      </c>
      <c r="K73" s="3" t="inlineStr">
        <is>
          <t>완박스는 자체 카톤 규격으로 출고 처리</t>
        </is>
      </c>
    </row>
    <row r="74">
      <c r="A74" s="3" t="inlineStr">
        <is>
          <t>FBX071</t>
        </is>
      </c>
      <c r="B74" s="5" t="n">
        <v>55</v>
      </c>
      <c r="C74" s="5" t="n">
        <v>35</v>
      </c>
      <c r="D74" s="5" t="n">
        <v>20</v>
      </c>
      <c r="E74" s="59" t="n">
        <v>8.6</v>
      </c>
      <c r="F74" s="5" t="n">
        <v>1</v>
      </c>
      <c r="G74" s="5" t="n">
        <v>1</v>
      </c>
      <c r="H74" s="3" t="inlineStr">
        <is>
          <t>OWN_CARTON</t>
        </is>
      </c>
      <c r="I74" s="4" t="inlineStr">
        <is>
          <t>N</t>
        </is>
      </c>
      <c r="J74" s="3" t="inlineStr">
        <is>
          <t>fullboxes_master</t>
        </is>
      </c>
      <c r="K74" s="3" t="inlineStr">
        <is>
          <t>완박스는 자체 카톤 규격으로 출고 처리</t>
        </is>
      </c>
    </row>
    <row r="75">
      <c r="A75" s="3" t="inlineStr">
        <is>
          <t>FBX072</t>
        </is>
      </c>
      <c r="B75" s="5" t="n">
        <v>55</v>
      </c>
      <c r="C75" s="5" t="n">
        <v>42</v>
      </c>
      <c r="D75" s="59" t="n">
        <v>40.5</v>
      </c>
      <c r="E75" s="59" t="n">
        <v>9.1</v>
      </c>
      <c r="F75" s="5" t="n">
        <v>4</v>
      </c>
      <c r="G75" s="5" t="n">
        <v>4</v>
      </c>
      <c r="H75" s="3" t="inlineStr">
        <is>
          <t>OWN_CARTON</t>
        </is>
      </c>
      <c r="I75" s="4" t="inlineStr">
        <is>
          <t>N</t>
        </is>
      </c>
      <c r="J75" s="3" t="inlineStr">
        <is>
          <t>fullboxes_master</t>
        </is>
      </c>
      <c r="K75" s="3" t="inlineStr">
        <is>
          <t>완박스는 자체 카톤 규격으로 출고 처리</t>
        </is>
      </c>
    </row>
    <row r="76">
      <c r="A76" s="3" t="inlineStr">
        <is>
          <t>FBX073</t>
        </is>
      </c>
      <c r="B76" s="5" t="n">
        <v>55</v>
      </c>
      <c r="C76" s="5" t="n">
        <v>48</v>
      </c>
      <c r="D76" s="59" t="n">
        <v>15.5</v>
      </c>
      <c r="E76" s="59" t="n">
        <v>14.7</v>
      </c>
      <c r="F76" s="5" t="n">
        <v>3</v>
      </c>
      <c r="G76" s="5" t="n">
        <v>3</v>
      </c>
      <c r="H76" s="3" t="inlineStr">
        <is>
          <t>OWN_CARTON</t>
        </is>
      </c>
      <c r="I76" s="4" t="inlineStr">
        <is>
          <t>N</t>
        </is>
      </c>
      <c r="J76" s="3" t="inlineStr">
        <is>
          <t>fullboxes_master</t>
        </is>
      </c>
      <c r="K76" s="3" t="inlineStr">
        <is>
          <t>완박스는 자체 카톤 규격으로 출고 처리</t>
        </is>
      </c>
    </row>
    <row r="77">
      <c r="A77" s="3" t="inlineStr">
        <is>
          <t>FBX074</t>
        </is>
      </c>
      <c r="B77" s="5" t="n">
        <v>56</v>
      </c>
      <c r="C77" s="5" t="n">
        <v>35</v>
      </c>
      <c r="D77" s="5" t="n">
        <v>20</v>
      </c>
      <c r="E77" s="59" t="n">
        <v>8.300000000000001</v>
      </c>
      <c r="F77" s="5" t="n">
        <v>1</v>
      </c>
      <c r="G77" s="5" t="n">
        <v>1</v>
      </c>
      <c r="H77" s="3" t="inlineStr">
        <is>
          <t>OWN_CARTON</t>
        </is>
      </c>
      <c r="I77" s="4" t="inlineStr">
        <is>
          <t>N</t>
        </is>
      </c>
      <c r="J77" s="3" t="inlineStr">
        <is>
          <t>fullboxes_master</t>
        </is>
      </c>
      <c r="K77" s="3" t="inlineStr">
        <is>
          <t>완박스는 자체 카톤 규격으로 출고 처리</t>
        </is>
      </c>
    </row>
    <row r="78">
      <c r="A78" s="3" t="inlineStr">
        <is>
          <t>FBX075</t>
        </is>
      </c>
      <c r="B78" s="5" t="n">
        <v>56</v>
      </c>
      <c r="C78" s="5" t="n">
        <v>42</v>
      </c>
      <c r="D78" s="5" t="n">
        <v>41</v>
      </c>
      <c r="E78" s="59" t="n">
        <v>9.050000000000001</v>
      </c>
      <c r="F78" s="5" t="n">
        <v>1</v>
      </c>
      <c r="G78" s="5" t="n">
        <v>1</v>
      </c>
      <c r="H78" s="3" t="inlineStr">
        <is>
          <t>OWN_CARTON</t>
        </is>
      </c>
      <c r="I78" s="4" t="inlineStr">
        <is>
          <t>N</t>
        </is>
      </c>
      <c r="J78" s="3" t="inlineStr">
        <is>
          <t>fullboxes_master</t>
        </is>
      </c>
      <c r="K78" s="3" t="inlineStr">
        <is>
          <t>완박스는 자체 카톤 규격으로 출고 처리</t>
        </is>
      </c>
    </row>
    <row r="79">
      <c r="A79" s="3" t="inlineStr">
        <is>
          <t>FBX076</t>
        </is>
      </c>
      <c r="B79" s="5" t="n">
        <v>57</v>
      </c>
      <c r="C79" s="5" t="n">
        <v>28</v>
      </c>
      <c r="D79" s="59" t="n">
        <v>15.5</v>
      </c>
      <c r="E79" s="59" t="n">
        <v>8.5</v>
      </c>
      <c r="F79" s="5" t="n">
        <v>2</v>
      </c>
      <c r="G79" s="5" t="n">
        <v>2</v>
      </c>
      <c r="H79" s="3" t="inlineStr">
        <is>
          <t>OWN_CARTON</t>
        </is>
      </c>
      <c r="I79" s="4" t="inlineStr">
        <is>
          <t>N</t>
        </is>
      </c>
      <c r="J79" s="3" t="inlineStr">
        <is>
          <t>fullboxes_master</t>
        </is>
      </c>
      <c r="K79" s="3" t="inlineStr">
        <is>
          <t>완박스는 자체 카톤 규격으로 출고 처리</t>
        </is>
      </c>
    </row>
    <row r="80">
      <c r="A80" s="3" t="inlineStr">
        <is>
          <t>FBX077</t>
        </is>
      </c>
      <c r="B80" s="5" t="n">
        <v>58</v>
      </c>
      <c r="C80" s="5" t="n">
        <v>48</v>
      </c>
      <c r="D80" s="5" t="n">
        <v>26</v>
      </c>
      <c r="E80" s="59" t="n">
        <v>8.4</v>
      </c>
      <c r="F80" s="5" t="n">
        <v>1</v>
      </c>
      <c r="G80" s="5" t="n">
        <v>1</v>
      </c>
      <c r="H80" s="3" t="inlineStr">
        <is>
          <t>OWN_CARTON</t>
        </is>
      </c>
      <c r="I80" s="4" t="inlineStr">
        <is>
          <t>N</t>
        </is>
      </c>
      <c r="J80" s="3" t="inlineStr">
        <is>
          <t>fullboxes_master</t>
        </is>
      </c>
      <c r="K80" s="3" t="inlineStr">
        <is>
          <t>완박스는 자체 카톤 규격으로 출고 처리</t>
        </is>
      </c>
    </row>
    <row r="81">
      <c r="A81" s="3" t="inlineStr">
        <is>
          <t>FBX078</t>
        </is>
      </c>
      <c r="B81" s="59" t="n">
        <v>58.5</v>
      </c>
      <c r="C81" s="5" t="n">
        <v>35</v>
      </c>
      <c r="D81" s="5" t="n">
        <v>27</v>
      </c>
      <c r="E81" s="59" t="n">
        <v>9.800000000000001</v>
      </c>
      <c r="F81" s="5" t="n">
        <v>1</v>
      </c>
      <c r="G81" s="5" t="n">
        <v>1</v>
      </c>
      <c r="H81" s="3" t="inlineStr">
        <is>
          <t>OWN_CARTON</t>
        </is>
      </c>
      <c r="I81" s="4" t="inlineStr">
        <is>
          <t>N</t>
        </is>
      </c>
      <c r="J81" s="3" t="inlineStr">
        <is>
          <t>fullboxes_master</t>
        </is>
      </c>
      <c r="K81" s="3" t="inlineStr">
        <is>
          <t>완박스는 자체 카톤 규격으로 출고 처리</t>
        </is>
      </c>
    </row>
    <row r="82">
      <c r="A82" s="3" t="inlineStr">
        <is>
          <t>FBX079</t>
        </is>
      </c>
      <c r="B82" s="5" t="n">
        <v>59</v>
      </c>
      <c r="C82" s="5" t="n">
        <v>41</v>
      </c>
      <c r="D82" s="5" t="n">
        <v>40</v>
      </c>
      <c r="E82" s="59" t="n">
        <v>10.5</v>
      </c>
      <c r="F82" s="5" t="n">
        <v>1</v>
      </c>
      <c r="G82" s="5" t="n">
        <v>1</v>
      </c>
      <c r="H82" s="3" t="inlineStr">
        <is>
          <t>OWN_CARTON</t>
        </is>
      </c>
      <c r="I82" s="4" t="inlineStr">
        <is>
          <t>N</t>
        </is>
      </c>
      <c r="J82" s="3" t="inlineStr">
        <is>
          <t>fullboxes_master</t>
        </is>
      </c>
      <c r="K82" s="3" t="inlineStr">
        <is>
          <t>완박스는 자체 카톤 규격으로 출고 처리</t>
        </is>
      </c>
    </row>
    <row r="83">
      <c r="A83" s="3" t="inlineStr">
        <is>
          <t>FBX080</t>
        </is>
      </c>
      <c r="B83" s="5" t="n">
        <v>59</v>
      </c>
      <c r="C83" s="5" t="n">
        <v>41</v>
      </c>
      <c r="D83" s="5" t="n">
        <v>40</v>
      </c>
      <c r="E83" s="59" t="n">
        <v>13.6</v>
      </c>
      <c r="F83" s="5" t="n">
        <v>4</v>
      </c>
      <c r="G83" s="5" t="n">
        <v>4</v>
      </c>
      <c r="H83" s="3" t="inlineStr">
        <is>
          <t>OWN_CARTON</t>
        </is>
      </c>
      <c r="I83" s="4" t="inlineStr">
        <is>
          <t>N</t>
        </is>
      </c>
      <c r="J83" s="3" t="inlineStr">
        <is>
          <t>fullboxes_master</t>
        </is>
      </c>
      <c r="K83" s="3" t="inlineStr">
        <is>
          <t>완박스는 자체 카톤 규격으로 출고 처리</t>
        </is>
      </c>
    </row>
    <row r="84">
      <c r="A84" s="3" t="inlineStr">
        <is>
          <t>FBX081</t>
        </is>
      </c>
      <c r="B84" s="5" t="n">
        <v>59</v>
      </c>
      <c r="C84" s="5" t="n">
        <v>41</v>
      </c>
      <c r="D84" s="5" t="n">
        <v>40</v>
      </c>
      <c r="E84" s="59" t="n">
        <v>13.7</v>
      </c>
      <c r="F84" s="5" t="n">
        <v>1</v>
      </c>
      <c r="G84" s="5" t="n">
        <v>1</v>
      </c>
      <c r="H84" s="3" t="inlineStr">
        <is>
          <t>OWN_CARTON</t>
        </is>
      </c>
      <c r="I84" s="4" t="inlineStr">
        <is>
          <t>N</t>
        </is>
      </c>
      <c r="J84" s="3" t="inlineStr">
        <is>
          <t>fullboxes_master</t>
        </is>
      </c>
      <c r="K84" s="3" t="inlineStr">
        <is>
          <t>완박스는 자체 카톤 규격으로 출고 처리</t>
        </is>
      </c>
    </row>
    <row r="85">
      <c r="A85" s="3" t="inlineStr">
        <is>
          <t>FBX082</t>
        </is>
      </c>
      <c r="B85" s="5" t="n">
        <v>59</v>
      </c>
      <c r="C85" s="5" t="n">
        <v>41</v>
      </c>
      <c r="D85" s="5" t="n">
        <v>40</v>
      </c>
      <c r="E85" s="5" t="n">
        <v>14</v>
      </c>
      <c r="F85" s="5" t="n">
        <v>1</v>
      </c>
      <c r="G85" s="5" t="n">
        <v>1</v>
      </c>
      <c r="H85" s="3" t="inlineStr">
        <is>
          <t>OWN_CARTON</t>
        </is>
      </c>
      <c r="I85" s="4" t="inlineStr">
        <is>
          <t>N</t>
        </is>
      </c>
      <c r="J85" s="3" t="inlineStr">
        <is>
          <t>fullboxes_master</t>
        </is>
      </c>
      <c r="K85" s="3" t="inlineStr">
        <is>
          <t>완박스는 자체 카톤 규격으로 출고 처리</t>
        </is>
      </c>
    </row>
    <row r="86">
      <c r="A86" s="3" t="inlineStr">
        <is>
          <t>FBX083</t>
        </is>
      </c>
      <c r="B86" s="5" t="n">
        <v>59</v>
      </c>
      <c r="C86" s="5" t="n">
        <v>41</v>
      </c>
      <c r="D86" s="5" t="n">
        <v>40</v>
      </c>
      <c r="E86" s="59" t="n">
        <v>19.3</v>
      </c>
      <c r="F86" s="5" t="n">
        <v>1</v>
      </c>
      <c r="G86" s="5" t="n">
        <v>1</v>
      </c>
      <c r="H86" s="3" t="inlineStr">
        <is>
          <t>OWN_CARTON</t>
        </is>
      </c>
      <c r="I86" s="4" t="inlineStr">
        <is>
          <t>N</t>
        </is>
      </c>
      <c r="J86" s="3" t="inlineStr">
        <is>
          <t>fullboxes_master</t>
        </is>
      </c>
      <c r="K86" s="3" t="inlineStr">
        <is>
          <t>완박스는 자체 카톤 규격으로 출고 처리</t>
        </is>
      </c>
    </row>
    <row r="87">
      <c r="A87" s="3" t="inlineStr">
        <is>
          <t>FBX084</t>
        </is>
      </c>
      <c r="B87" s="5" t="n">
        <v>59</v>
      </c>
      <c r="C87" s="5" t="n">
        <v>41</v>
      </c>
      <c r="D87" s="5" t="n">
        <v>41</v>
      </c>
      <c r="E87" s="59" t="n">
        <v>10.6</v>
      </c>
      <c r="F87" s="5" t="n">
        <v>3</v>
      </c>
      <c r="G87" s="5" t="n">
        <v>3</v>
      </c>
      <c r="H87" s="3" t="inlineStr">
        <is>
          <t>OWN_CARTON</t>
        </is>
      </c>
      <c r="I87" s="4" t="inlineStr">
        <is>
          <t>N</t>
        </is>
      </c>
      <c r="J87" s="3" t="inlineStr">
        <is>
          <t>fullboxes_master</t>
        </is>
      </c>
      <c r="K87" s="3" t="inlineStr">
        <is>
          <t>완박스는 자체 카톤 규격으로 출고 처리</t>
        </is>
      </c>
    </row>
    <row r="88">
      <c r="A88" s="3" t="inlineStr">
        <is>
          <t>FBX085</t>
        </is>
      </c>
      <c r="B88" s="5" t="n">
        <v>60</v>
      </c>
      <c r="C88" s="5" t="n">
        <v>35</v>
      </c>
      <c r="D88" s="59" t="n">
        <v>30.5</v>
      </c>
      <c r="E88" s="59" t="n">
        <v>9.6</v>
      </c>
      <c r="F88" s="5" t="n">
        <v>1</v>
      </c>
      <c r="G88" s="5" t="n">
        <v>1</v>
      </c>
      <c r="H88" s="3" t="inlineStr">
        <is>
          <t>OWN_CARTON</t>
        </is>
      </c>
      <c r="I88" s="4" t="inlineStr">
        <is>
          <t>N</t>
        </is>
      </c>
      <c r="J88" s="3" t="inlineStr">
        <is>
          <t>fullboxes_master</t>
        </is>
      </c>
      <c r="K88" s="3" t="inlineStr">
        <is>
          <t>완박스는 자체 카톤 규격으로 출고 처리</t>
        </is>
      </c>
    </row>
    <row r="89">
      <c r="A89" s="3" t="inlineStr">
        <is>
          <t>FBX086</t>
        </is>
      </c>
      <c r="B89" s="5" t="n">
        <v>60</v>
      </c>
      <c r="C89" s="5" t="n">
        <v>38</v>
      </c>
      <c r="D89" s="59" t="n">
        <v>41.5</v>
      </c>
      <c r="E89" s="59" t="n">
        <v>10.7</v>
      </c>
      <c r="F89" s="5" t="n">
        <v>3</v>
      </c>
      <c r="G89" s="5" t="n">
        <v>3</v>
      </c>
      <c r="H89" s="3" t="inlineStr">
        <is>
          <t>OWN_CARTON</t>
        </is>
      </c>
      <c r="I89" s="4" t="inlineStr">
        <is>
          <t>N</t>
        </is>
      </c>
      <c r="J89" s="3" t="inlineStr">
        <is>
          <t>fullboxes_master</t>
        </is>
      </c>
      <c r="K89" s="3" t="inlineStr">
        <is>
          <t>완박스는 자체 카톤 규격으로 출고 처리</t>
        </is>
      </c>
    </row>
    <row r="90">
      <c r="A90" s="3" t="inlineStr">
        <is>
          <t>FBX087</t>
        </is>
      </c>
      <c r="B90" s="5" t="n">
        <v>60</v>
      </c>
      <c r="C90" s="5" t="n">
        <v>42</v>
      </c>
      <c r="D90" s="5" t="n">
        <v>42</v>
      </c>
      <c r="E90" s="59" t="n">
        <v>10.34</v>
      </c>
      <c r="F90" s="5" t="n">
        <v>1</v>
      </c>
      <c r="G90" s="5" t="n">
        <v>1</v>
      </c>
      <c r="H90" s="3" t="inlineStr">
        <is>
          <t>OWN_CARTON</t>
        </is>
      </c>
      <c r="I90" s="4" t="inlineStr">
        <is>
          <t>N</t>
        </is>
      </c>
      <c r="J90" s="3" t="inlineStr">
        <is>
          <t>fullboxes_master</t>
        </is>
      </c>
      <c r="K90" s="3" t="inlineStr">
        <is>
          <t>완박스는 자체 카톤 규격으로 출고 처리</t>
        </is>
      </c>
    </row>
    <row r="91">
      <c r="A91" s="3" t="inlineStr">
        <is>
          <t>FBX088</t>
        </is>
      </c>
      <c r="B91" s="5" t="n">
        <v>60</v>
      </c>
      <c r="C91" s="5" t="n">
        <v>42</v>
      </c>
      <c r="D91" s="5" t="n">
        <v>42</v>
      </c>
      <c r="E91" s="59" t="n">
        <v>10.5</v>
      </c>
      <c r="F91" s="5" t="n">
        <v>1</v>
      </c>
      <c r="G91" s="5" t="n">
        <v>1</v>
      </c>
      <c r="H91" s="3" t="inlineStr">
        <is>
          <t>OWN_CARTON</t>
        </is>
      </c>
      <c r="I91" s="4" t="inlineStr">
        <is>
          <t>N</t>
        </is>
      </c>
      <c r="J91" s="3" t="inlineStr">
        <is>
          <t>fullboxes_master</t>
        </is>
      </c>
      <c r="K91" s="3" t="inlineStr">
        <is>
          <t>완박스는 자체 카톤 규격으로 출고 처리</t>
        </is>
      </c>
    </row>
    <row r="92">
      <c r="A92" s="3" t="inlineStr">
        <is>
          <t>FBX089</t>
        </is>
      </c>
      <c r="B92" s="5" t="n">
        <v>60</v>
      </c>
      <c r="C92" s="5" t="n">
        <v>44</v>
      </c>
      <c r="D92" s="5" t="n">
        <v>32</v>
      </c>
      <c r="E92" s="5" t="n">
        <v>26</v>
      </c>
      <c r="F92" s="5" t="n">
        <v>1</v>
      </c>
      <c r="G92" s="5" t="n">
        <v>1</v>
      </c>
      <c r="H92" s="3" t="inlineStr">
        <is>
          <t>OWN_CARTON</t>
        </is>
      </c>
      <c r="I92" s="4" t="inlineStr">
        <is>
          <t>N</t>
        </is>
      </c>
      <c r="J92" s="3" t="inlineStr">
        <is>
          <t>fullboxes_master</t>
        </is>
      </c>
      <c r="K92" s="3" t="inlineStr">
        <is>
          <t>완박스는 자체 카톤 규격으로 출고 처리</t>
        </is>
      </c>
    </row>
    <row r="93">
      <c r="A93" s="3" t="inlineStr">
        <is>
          <t>FBX090</t>
        </is>
      </c>
      <c r="B93" s="59" t="n">
        <v>61.5</v>
      </c>
      <c r="C93" s="59" t="n">
        <v>51.5</v>
      </c>
      <c r="D93" s="5" t="n">
        <v>22</v>
      </c>
      <c r="E93" s="59" t="n">
        <v>8.699999999999999</v>
      </c>
      <c r="F93" s="5" t="n">
        <v>1</v>
      </c>
      <c r="G93" s="5" t="n">
        <v>1</v>
      </c>
      <c r="H93" s="3" t="inlineStr">
        <is>
          <t>OWN_CARTON</t>
        </is>
      </c>
      <c r="I93" s="4" t="inlineStr">
        <is>
          <t>N</t>
        </is>
      </c>
      <c r="J93" s="3" t="inlineStr">
        <is>
          <t>fullboxes_master</t>
        </is>
      </c>
      <c r="K93" s="3" t="inlineStr">
        <is>
          <t>완박스는 자체 카톤 규격으로 출고 처리</t>
        </is>
      </c>
    </row>
    <row r="94">
      <c r="A94" s="3" t="inlineStr">
        <is>
          <t>FBX091</t>
        </is>
      </c>
      <c r="B94" s="5" t="n">
        <v>63</v>
      </c>
      <c r="C94" s="5" t="n">
        <v>43</v>
      </c>
      <c r="D94" s="5" t="n">
        <v>27</v>
      </c>
      <c r="E94" s="59" t="n">
        <v>6.45</v>
      </c>
      <c r="F94" s="5" t="n">
        <v>1</v>
      </c>
      <c r="G94" s="5" t="n">
        <v>1</v>
      </c>
      <c r="H94" s="3" t="inlineStr">
        <is>
          <t>OWN_CARTON</t>
        </is>
      </c>
      <c r="I94" s="4" t="inlineStr">
        <is>
          <t>N</t>
        </is>
      </c>
      <c r="J94" s="3" t="inlineStr">
        <is>
          <t>fullboxes_master</t>
        </is>
      </c>
      <c r="K94" s="3" t="inlineStr">
        <is>
          <t>완박스는 자체 카톤 규격으로 출고 처리</t>
        </is>
      </c>
    </row>
    <row r="95">
      <c r="A95" s="3" t="inlineStr">
        <is>
          <t>FBX092</t>
        </is>
      </c>
      <c r="B95" s="5" t="n">
        <v>72</v>
      </c>
      <c r="C95" s="5" t="n">
        <v>46</v>
      </c>
      <c r="D95" s="5" t="n">
        <v>17</v>
      </c>
      <c r="E95" s="59" t="n">
        <v>15.95</v>
      </c>
      <c r="F95" s="5" t="n">
        <v>1</v>
      </c>
      <c r="G95" s="5" t="n">
        <v>1</v>
      </c>
      <c r="H95" s="3" t="inlineStr">
        <is>
          <t>OWN_CARTON</t>
        </is>
      </c>
      <c r="I95" s="4" t="inlineStr">
        <is>
          <t>N</t>
        </is>
      </c>
      <c r="J95" s="3" t="inlineStr">
        <is>
          <t>fullboxes_master</t>
        </is>
      </c>
      <c r="K95" s="3" t="inlineStr">
        <is>
          <t>완박스는 자체 카톤 규격으로 출고 처리</t>
        </is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</row>
    <row r="97">
      <c r="A97" s="3" t="inlineStr">
        <is>
          <t>수동검토 필요 행</t>
        </is>
      </c>
      <c r="B97" s="3" t="inlineStr">
        <is>
          <t>97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8" defaultRowHeight="15"/>
  <cols>
    <col width="10" customWidth="1" style="42" min="1" max="1"/>
    <col width="22" customWidth="1" style="42" min="2" max="3"/>
    <col width="28" customWidth="1" style="42" min="4" max="4"/>
    <col width="44" customWidth="1" style="42" min="5" max="5"/>
    <col width="24" customWidth="1" style="42" min="6" max="6"/>
    <col width="20" customWidth="1" style="42" min="7" max="7"/>
    <col width="28" customWidth="1" style="42" min="8" max="8"/>
  </cols>
  <sheetData>
    <row r="1" ht="24" customHeight="1" s="42">
      <c r="A1" s="41" t="inlineStr">
        <is>
          <t>패킹 엔진 처리 순서(flow) 확정</t>
        </is>
      </c>
    </row>
    <row r="3" ht="30" customHeight="1" s="42">
      <c r="A3" s="43" t="inlineStr">
        <is>
          <t>step_no</t>
        </is>
      </c>
      <c r="B3" s="43" t="inlineStr">
        <is>
          <t>phase</t>
        </is>
      </c>
      <c r="C3" s="43" t="inlineStr">
        <is>
          <t>입력/조건</t>
        </is>
      </c>
      <c r="D3" s="43" t="inlineStr">
        <is>
          <t>참조시트</t>
        </is>
      </c>
      <c r="E3" s="43" t="inlineStr">
        <is>
          <t>핵심 로직</t>
        </is>
      </c>
      <c r="F3" s="43" t="inlineStr">
        <is>
          <t>산출물</t>
        </is>
      </c>
      <c r="G3" s="43" t="inlineStr">
        <is>
          <t>중단/예외조건</t>
        </is>
      </c>
      <c r="H3" s="43" t="inlineStr">
        <is>
          <t>비고</t>
        </is>
      </c>
    </row>
    <row r="4" ht="30" customHeight="1" s="42">
      <c r="A4" s="46" t="n">
        <v>1</v>
      </c>
      <c r="B4" s="46" t="inlineStr">
        <is>
          <t>INPUT_NORMALIZE</t>
        </is>
      </c>
      <c r="C4" s="46" t="inlineStr">
        <is>
          <t>주문라인(product_code, qty)</t>
        </is>
      </c>
      <c r="D4" s="46" t="inlineStr">
        <is>
          <t>products_master</t>
        </is>
      </c>
      <c r="E4" s="46" t="inlineStr">
        <is>
          <t>상품코드/상품명 정규화 및 active 확인</t>
        </is>
      </c>
      <c r="F4" s="46" t="inlineStr">
        <is>
          <t>normalized_order_lines</t>
        </is>
      </c>
      <c r="G4" s="46" t="inlineStr">
        <is>
          <t>상품 미존재 또는 inactive</t>
        </is>
      </c>
      <c r="H4" s="46" t="inlineStr">
        <is>
          <t>입력 표준화</t>
        </is>
      </c>
    </row>
    <row r="5" ht="30" customHeight="1" s="42">
      <c r="A5" s="46" t="n">
        <v>2</v>
      </c>
      <c r="B5" s="46" t="inlineStr">
        <is>
          <t>TYPE_DETECT</t>
        </is>
      </c>
      <c r="C5" s="46" t="inlineStr">
        <is>
          <t>정규화된 주문라인</t>
        </is>
      </c>
      <c r="D5" s="46" t="inlineStr">
        <is>
          <t>products_master, packages_master</t>
        </is>
      </c>
      <c r="E5" s="46" t="inlineStr">
        <is>
          <t>상품 유형 판별: NORMAL / SPECIAL_300 / PACKAGE_SEALED</t>
        </is>
      </c>
      <c r="F5" s="46" t="inlineStr">
        <is>
          <t>typed_order_lines</t>
        </is>
      </c>
      <c r="G5" s="46" t="inlineStr">
        <is>
          <t>유형 판별 실패</t>
        </is>
      </c>
      <c r="H5" s="46" t="inlineStr">
        <is>
          <t>패키지 여부는 packages_master 기준</t>
        </is>
      </c>
    </row>
    <row r="6" ht="45" customHeight="1" s="42">
      <c r="A6" s="46" t="n">
        <v>3</v>
      </c>
      <c r="B6" s="46" t="inlineStr">
        <is>
          <t>MASTER_VALIDATE</t>
        </is>
      </c>
      <c r="C6" s="46" t="inlineStr">
        <is>
          <t>typed_order_lines</t>
        </is>
      </c>
      <c r="D6" s="46" t="inlineStr">
        <is>
          <t>boxes_master, fullboxes_master, packages_master</t>
        </is>
      </c>
      <c r="E6" s="46" t="inlineStr">
        <is>
          <t>계산에 필요한 규격/중량/정책 존재 여부 확인</t>
        </is>
      </c>
      <c r="F6" s="46" t="inlineStr">
        <is>
          <t>validated_order_lines</t>
        </is>
      </c>
      <c r="G6" s="46" t="inlineStr">
        <is>
          <t>필수 규격/중량 누락</t>
        </is>
      </c>
      <c r="H6" s="46" t="inlineStr">
        <is>
          <t>누락 시 MANUAL_REVIEW</t>
        </is>
      </c>
    </row>
    <row r="7" ht="30" customHeight="1" s="42">
      <c r="A7" s="46" t="n">
        <v>4</v>
      </c>
      <c r="B7" s="46" t="inlineStr">
        <is>
          <t>FULLBOX_ALLOCATE</t>
        </is>
      </c>
      <c r="C7" s="46" t="inlineStr">
        <is>
          <t>validated_order_lines</t>
        </is>
      </c>
      <c r="D7" s="46" t="inlineStr">
        <is>
          <t>fullboxes_master, fullbox_cartons_master</t>
        </is>
      </c>
      <c r="E7" s="46" t="inlineStr">
        <is>
          <t>완박스 가능 SKU는 완박스부터 우선 배정</t>
        </is>
      </c>
      <c r="F7" s="46" t="inlineStr">
        <is>
          <t>fullbox_allocations</t>
        </is>
      </c>
      <c r="G7" s="46" t="inlineStr">
        <is>
          <t>완박스 규격 누락</t>
        </is>
      </c>
      <c r="H7" s="46" t="inlineStr">
        <is>
          <t>완박스는 OWN_CARTON</t>
        </is>
      </c>
    </row>
    <row r="8" ht="30" customHeight="1" s="42">
      <c r="A8" s="46" t="n">
        <v>5</v>
      </c>
      <c r="B8" s="46" t="inlineStr">
        <is>
          <t>PACKAGE_POLICY_APPLY</t>
        </is>
      </c>
      <c r="C8" s="46" t="inlineStr">
        <is>
          <t>잔여 package sku</t>
        </is>
      </c>
      <c r="D8" s="46" t="inlineStr">
        <is>
          <t>packages_master, package_bom_master</t>
        </is>
      </c>
      <c r="E8" s="46" t="inlineStr">
        <is>
          <t>기본은 패키지 상태 그대로 계산. 해체는 BOM 존재 + 정책 허용 + 실제 필요 시만 허용</t>
        </is>
      </c>
      <c r="F8" s="46" t="inlineStr">
        <is>
          <t>package_allocations</t>
        </is>
      </c>
      <c r="G8" s="46" t="inlineStr">
        <is>
          <t>BOM 필요한데 부재</t>
        </is>
      </c>
      <c r="H8" s="46" t="inlineStr">
        <is>
          <t>기본 정책 PACKAGE_AS_IS_FIRST</t>
        </is>
      </c>
    </row>
    <row r="9" ht="30" customHeight="1" s="42">
      <c r="A9" s="46" t="n">
        <v>6</v>
      </c>
      <c r="B9" s="46" t="inlineStr">
        <is>
          <t>SPECIAL_POLICY_APPLY</t>
        </is>
      </c>
      <c r="C9" s="46" t="inlineStr">
        <is>
          <t>잔여 special sku</t>
        </is>
      </c>
      <c r="D9" s="46" t="inlineStr">
        <is>
          <t>products_master, rules_master</t>
        </is>
      </c>
      <c r="E9" s="46" t="inlineStr">
        <is>
          <t>특수군은 BX010(72x48x40)에 300개 우선 배정 시도</t>
        </is>
      </c>
      <c r="F9" s="46" t="inlineStr">
        <is>
          <t>special_allocations</t>
        </is>
      </c>
      <c r="G9" s="46" t="inlineStr">
        <is>
          <t>박스/중량 제약 불가</t>
        </is>
      </c>
      <c r="H9" s="46" t="inlineStr">
        <is>
          <t>ELASTY/CELLOZOME/REPLENGEN/RICHESSE_C/DEMEI</t>
        </is>
      </c>
    </row>
    <row r="10" ht="45" customHeight="1" s="42">
      <c r="A10" s="46" t="n">
        <v>7</v>
      </c>
      <c r="B10" s="46" t="inlineStr">
        <is>
          <t>NORMAL_PACKING</t>
        </is>
      </c>
      <c r="C10" s="46" t="inlineStr">
        <is>
          <t>잔여 normal sku</t>
        </is>
      </c>
      <c r="D10" s="46" t="inlineStr">
        <is>
          <t>boxes_master, products_master, rules_master</t>
        </is>
      </c>
      <c r="E10" s="46" t="inlineStr">
        <is>
          <t>박스 수 최소화 우선 + 같은 상품 우선 + 동률이면 큰 박스 우선</t>
        </is>
      </c>
      <c r="F10" s="46" t="inlineStr">
        <is>
          <t>normal_allocations</t>
        </is>
      </c>
      <c r="G10" s="46" t="inlineStr">
        <is>
          <t>적합 박스 없음</t>
        </is>
      </c>
      <c r="H10" s="46" t="inlineStr">
        <is>
          <t>내경 = 외경 - 1cm</t>
        </is>
      </c>
    </row>
    <row r="11">
      <c r="A11" s="46" t="n">
        <v>8</v>
      </c>
      <c r="B11" s="46" t="inlineStr">
        <is>
          <t>WEIGHT_CHECK</t>
        </is>
      </c>
      <c r="C11" s="46" t="inlineStr">
        <is>
          <t>모든 allocation</t>
        </is>
      </c>
      <c r="D11" s="46" t="inlineStr">
        <is>
          <t>rules_master</t>
        </is>
      </c>
      <c r="E11" s="46" t="inlineStr">
        <is>
          <t>30kg 초과 여부 확인 및 초과안 재배치</t>
        </is>
      </c>
      <c r="F11" s="46" t="inlineStr">
        <is>
          <t>weight_valid_allocations</t>
        </is>
      </c>
      <c r="G11" s="46" t="inlineStr">
        <is>
          <t>대체 배치 실패</t>
        </is>
      </c>
      <c r="H11" s="46" t="inlineStr">
        <is>
          <t>max 30kg</t>
        </is>
      </c>
    </row>
    <row r="12" ht="30" customHeight="1" s="42">
      <c r="A12" s="46" t="n">
        <v>9</v>
      </c>
      <c r="B12" s="46" t="inlineStr">
        <is>
          <t>SPACE_CHECK</t>
        </is>
      </c>
      <c r="C12" s="46" t="inlineStr">
        <is>
          <t>확정 allocation</t>
        </is>
      </c>
      <c r="D12" s="46" t="inlineStr">
        <is>
          <t>rules_master</t>
        </is>
      </c>
      <c r="E12" s="46" t="inlineStr">
        <is>
          <t>상단 유효공간 계산. 2cm 이상이면 제단 안내/가능높이 산출</t>
        </is>
      </c>
      <c r="F12" s="46" t="inlineStr">
        <is>
          <t>space_checked_allocations</t>
        </is>
      </c>
      <c r="G12" s="46" t="inlineStr">
        <is>
          <t>-</t>
        </is>
      </c>
      <c r="H12" s="46" t="inlineStr">
        <is>
          <t>trim notice 생성</t>
        </is>
      </c>
    </row>
    <row r="13" ht="30" customHeight="1" s="42">
      <c r="A13" s="46" t="n">
        <v>10</v>
      </c>
      <c r="B13" s="46" t="inlineStr">
        <is>
          <t>MERGE_RESULT</t>
        </is>
      </c>
      <c r="C13" s="46" t="inlineStr">
        <is>
          <t>fullbox+package+special+normal</t>
        </is>
      </c>
      <c r="D13" s="46" t="inlineStr">
        <is>
          <t>engine internal</t>
        </is>
      </c>
      <c r="E13" s="46" t="inlineStr">
        <is>
          <t>모든 allocation을 carton 기준으로 병합/정렬</t>
        </is>
      </c>
      <c r="F13" s="46" t="inlineStr">
        <is>
          <t>merged_cartons</t>
        </is>
      </c>
      <c r="G13" s="46" t="inlineStr">
        <is>
          <t>-</t>
        </is>
      </c>
      <c r="H13" s="46" t="inlineStr">
        <is>
          <t>carton_seq 부여</t>
        </is>
      </c>
    </row>
    <row r="14">
      <c r="A14" s="46" t="n">
        <v>11</v>
      </c>
      <c r="B14" s="46" t="inlineStr">
        <is>
          <t>BUILD_PACKING_LIST</t>
        </is>
      </c>
      <c r="C14" s="46" t="inlineStr">
        <is>
          <t>merged_cartons</t>
        </is>
      </c>
      <c r="D14" s="46" t="inlineStr">
        <is>
          <t>output_schema</t>
        </is>
      </c>
      <c r="E14" s="46" t="inlineStr">
        <is>
          <t>템플릿 형식 패킹리스트 행 생성</t>
        </is>
      </c>
      <c r="F14" s="46" t="inlineStr">
        <is>
          <t>packing_list_rows</t>
        </is>
      </c>
      <c r="G14" s="46" t="inlineStr">
        <is>
          <t>필수 출력필드 누락</t>
        </is>
      </c>
      <c r="H14" s="46" t="inlineStr">
        <is>
          <t>출력 포맷 고정</t>
        </is>
      </c>
    </row>
    <row r="15">
      <c r="A15" s="46" t="n">
        <v>12</v>
      </c>
      <c r="B15" s="46" t="inlineStr">
        <is>
          <t>SUMMARY</t>
        </is>
      </c>
      <c r="C15" s="46" t="inlineStr">
        <is>
          <t>packing_list_rows</t>
        </is>
      </c>
      <c r="D15" s="46" t="inlineStr">
        <is>
          <t>output_schema</t>
        </is>
      </c>
      <c r="E15" s="46" t="inlineStr">
        <is>
          <t>총 박스수/총수량/검토대상 요약 생성</t>
        </is>
      </c>
      <c r="F15" s="46" t="inlineStr">
        <is>
          <t>packing_list_summary</t>
        </is>
      </c>
      <c r="G15" s="46" t="inlineStr">
        <is>
          <t>-</t>
        </is>
      </c>
      <c r="H15" s="46" t="inlineStr">
        <is>
          <t>최종 사용자 출력</t>
        </is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입력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$.request_version</t>
        </is>
      </c>
      <c r="B4" s="10" t="inlineStr">
        <is>
          <t>요청버전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지원 스키마 버전과 일치</t>
        </is>
      </c>
      <c r="H4" s="10" t="inlineStr">
        <is>
          <t>요청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N</t>
        </is>
      </c>
      <c r="F5" s="10" t="inlineStr">
        <is>
          <t>PK-20260310-0001</t>
        </is>
      </c>
      <c r="G5" s="10" t="inlineStr">
        <is>
          <t>미입력 시 엔진 자동 생성</t>
        </is>
      </c>
      <c r="H5" s="10" t="inlineStr">
        <is>
          <t>요청 식별자</t>
        </is>
      </c>
    </row>
    <row r="6" ht="45" customHeight="1" s="42">
      <c r="A6" s="10" t="inlineStr">
        <is>
          <t>$.packing_mode</t>
        </is>
      </c>
      <c r="B6" s="10" t="inlineStr">
        <is>
          <t>출고방법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AUTO / REPACK / FULLBOX</t>
        </is>
      </c>
      <c r="G6" s="10" t="inlineStr">
        <is>
          <t>enum</t>
        </is>
      </c>
      <c r="H6" s="10" t="inlineStr">
        <is>
          <t>계산 모드. AUTO면 엔진이 완박스→재포장 순으로 판단</t>
        </is>
      </c>
    </row>
    <row r="7">
      <c r="A7" s="10" t="inlineStr">
        <is>
          <t>$.packing_list_required</t>
        </is>
      </c>
      <c r="B7" s="10" t="inlineStr">
        <is>
          <t>패킹리스트필요</t>
        </is>
      </c>
      <c r="C7" s="10" t="inlineStr">
        <is>
          <t>job</t>
        </is>
      </c>
      <c r="D7" s="10" t="inlineStr">
        <is>
          <t>boolean</t>
        </is>
      </c>
      <c r="E7" s="10" t="inlineStr">
        <is>
          <t>Y</t>
        </is>
      </c>
      <c r="F7" s="10" t="inlineStr">
        <is>
          <t>true / false</t>
        </is>
      </c>
      <c r="G7" s="10" t="inlineStr">
        <is>
          <t>bool</t>
        </is>
      </c>
      <c r="H7" s="10" t="inlineStr">
        <is>
          <t>출력 형식 제어</t>
        </is>
      </c>
    </row>
    <row r="8">
      <c r="A8" s="10" t="inlineStr">
        <is>
          <t>$.output_language</t>
        </is>
      </c>
      <c r="B8" s="10" t="inlineStr">
        <is>
          <t>출력언어</t>
        </is>
      </c>
      <c r="C8" s="10" t="inlineStr">
        <is>
          <t>job</t>
        </is>
      </c>
      <c r="D8" s="10" t="inlineStr">
        <is>
          <t>text</t>
        </is>
      </c>
      <c r="E8" s="10" t="inlineStr">
        <is>
          <t>N</t>
        </is>
      </c>
      <c r="F8" s="10" t="inlineStr">
        <is>
          <t>ko / en / ru</t>
        </is>
      </c>
      <c r="G8" s="10" t="inlineStr">
        <is>
          <t>미입력 시 ko</t>
        </is>
      </c>
      <c r="H8" s="10" t="inlineStr">
        <is>
          <t>안내 문구 언어</t>
        </is>
      </c>
    </row>
    <row r="9">
      <c r="A9" s="10" t="inlineStr">
        <is>
          <t>$.order_lines</t>
        </is>
      </c>
      <c r="B9" s="10" t="inlineStr">
        <is>
          <t>주문라인목록</t>
        </is>
      </c>
      <c r="C9" s="10" t="inlineStr">
        <is>
          <t>array</t>
        </is>
      </c>
      <c r="D9" s="10" t="inlineStr">
        <is>
          <t>array</t>
        </is>
      </c>
      <c r="E9" s="10" t="inlineStr">
        <is>
          <t>Y</t>
        </is>
      </c>
      <c r="F9" s="10" t="inlineStr">
        <is>
          <t>[...]</t>
        </is>
      </c>
      <c r="G9" s="10" t="inlineStr">
        <is>
          <t>최소 1행</t>
        </is>
      </c>
      <c r="H9" s="10" t="inlineStr">
        <is>
          <t>계산 대상 주문 라인 배열</t>
        </is>
      </c>
    </row>
    <row r="10" ht="30" customHeight="1" s="42">
      <c r="A10" s="10" t="inlineStr">
        <is>
          <t>$.order_lines[].order_line_no</t>
        </is>
      </c>
      <c r="B10" s="10" t="inlineStr">
        <is>
          <t>주문행번호</t>
        </is>
      </c>
      <c r="C10" s="10" t="inlineStr">
        <is>
          <t>line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1</t>
        </is>
      </c>
      <c r="G10" s="10" t="inlineStr">
        <is>
          <t>양의 정수</t>
        </is>
      </c>
      <c r="H10" s="10" t="inlineStr">
        <is>
          <t>입력 순번 유지용</t>
        </is>
      </c>
    </row>
    <row r="11" ht="30" customHeight="1" s="42">
      <c r="A11" s="10" t="inlineStr">
        <is>
          <t>$.order_lines[].product_code</t>
        </is>
      </c>
      <c r="B11" s="10" t="inlineStr">
        <is>
          <t>상품코드</t>
        </is>
      </c>
      <c r="C11" s="10" t="inlineStr">
        <is>
          <t>line</t>
        </is>
      </c>
      <c r="D11" s="10" t="inlineStr">
        <is>
          <t>text</t>
        </is>
      </c>
      <c r="E11" s="10" t="inlineStr">
        <is>
          <t>N</t>
        </is>
      </c>
      <c r="F11" s="10" t="inlineStr">
        <is>
          <t>P000123</t>
        </is>
      </c>
      <c r="G11" s="10" t="inlineStr">
        <is>
          <t>product_code 또는 product_name 중 1개 이상 필수</t>
        </is>
      </c>
      <c r="H11" s="10" t="inlineStr">
        <is>
          <t>상품 식별값</t>
        </is>
      </c>
    </row>
    <row r="12" ht="30" customHeight="1" s="42">
      <c r="A12" s="10" t="inlineStr">
        <is>
          <t>$.order_lines[].product_name</t>
        </is>
      </c>
      <c r="B12" s="10" t="inlineStr">
        <is>
          <t>상품명</t>
        </is>
      </c>
      <c r="C12" s="10" t="inlineStr">
        <is>
          <t>line</t>
        </is>
      </c>
      <c r="D12" s="10" t="inlineStr">
        <is>
          <t>text</t>
        </is>
      </c>
      <c r="E12" s="10" t="inlineStr">
        <is>
          <t>N</t>
        </is>
      </c>
      <c r="F12" s="10" t="inlineStr">
        <is>
          <t>리체스 딥 리도(c)</t>
        </is>
      </c>
      <c r="G12" s="10" t="inlineStr">
        <is>
          <t>product_code 또는 product_name 중 1개 이상 필수</t>
        </is>
      </c>
      <c r="H12" s="10" t="inlineStr">
        <is>
          <t>상품 식별값</t>
        </is>
      </c>
    </row>
    <row r="13">
      <c r="A13" s="10" t="inlineStr">
        <is>
          <t>$.order_lines[].qty</t>
        </is>
      </c>
      <c r="B13" s="10" t="inlineStr">
        <is>
          <t>수량</t>
        </is>
      </c>
      <c r="C13" s="10" t="inlineStr">
        <is>
          <t>line</t>
        </is>
      </c>
      <c r="D13" s="10" t="inlineStr">
        <is>
          <t>number</t>
        </is>
      </c>
      <c r="E13" s="10" t="inlineStr">
        <is>
          <t>Y</t>
        </is>
      </c>
      <c r="F13" s="10" t="inlineStr">
        <is>
          <t>225</t>
        </is>
      </c>
      <c r="G13" s="10" t="inlineStr">
        <is>
          <t>0 초과 정수</t>
        </is>
      </c>
      <c r="H13" s="10" t="inlineStr">
        <is>
          <t>주문 수량</t>
        </is>
      </c>
    </row>
    <row r="14" ht="30" customHeight="1" s="42">
      <c r="A14" s="10" t="inlineStr">
        <is>
          <t>$.options.allow_package_unseal</t>
        </is>
      </c>
      <c r="B14" s="10" t="inlineStr">
        <is>
          <t>패키지해체허용</t>
        </is>
      </c>
      <c r="C14" s="10" t="inlineStr">
        <is>
          <t>option</t>
        </is>
      </c>
      <c r="D14" s="10" t="inlineStr">
        <is>
          <t>boolean</t>
        </is>
      </c>
      <c r="E14" s="10" t="inlineStr">
        <is>
          <t>N</t>
        </is>
      </c>
      <c r="F14" s="10" t="inlineStr">
        <is>
          <t>false</t>
        </is>
      </c>
      <c r="G14" s="10" t="inlineStr">
        <is>
          <t>기본 false</t>
        </is>
      </c>
      <c r="H14" s="10" t="inlineStr">
        <is>
          <t>true 여도 BOM 존재 + 정책 허용 시만 해체 가능</t>
        </is>
      </c>
    </row>
    <row r="15" ht="45" customHeight="1" s="42">
      <c r="A15" s="10" t="inlineStr">
        <is>
          <t>$.options.allow_manual_review</t>
        </is>
      </c>
      <c r="B15" s="10" t="inlineStr">
        <is>
          <t>수동검토허용</t>
        </is>
      </c>
      <c r="C15" s="10" t="inlineStr">
        <is>
          <t>option</t>
        </is>
      </c>
      <c r="D15" s="10" t="inlineStr">
        <is>
          <t>boolean</t>
        </is>
      </c>
      <c r="E15" s="10" t="inlineStr">
        <is>
          <t>N</t>
        </is>
      </c>
      <c r="F15" s="10" t="inlineStr">
        <is>
          <t>true</t>
        </is>
      </c>
      <c r="G15" s="10" t="inlineStr">
        <is>
          <t>기본 true</t>
        </is>
      </c>
      <c r="H15" s="10" t="inlineStr">
        <is>
          <t>예외 발생 시 MANUAL_REVIEW 결과 반환 허용</t>
        </is>
      </c>
    </row>
    <row r="16" ht="30" customHeight="1" s="42">
      <c r="A16" s="10" t="inlineStr">
        <is>
          <t>$.options.prefer_same_sku_carton</t>
        </is>
      </c>
      <c r="B16" s="10" t="inlineStr">
        <is>
          <t>같은상품우선</t>
        </is>
      </c>
      <c r="C16" s="10" t="inlineStr">
        <is>
          <t>option</t>
        </is>
      </c>
      <c r="D16" s="10" t="inlineStr">
        <is>
          <t>boolean</t>
        </is>
      </c>
      <c r="E16" s="10" t="inlineStr">
        <is>
          <t>N</t>
        </is>
      </c>
      <c r="F16" s="10" t="inlineStr">
        <is>
          <t>true</t>
        </is>
      </c>
      <c r="G16" s="10" t="inlineStr">
        <is>
          <t>기본 true</t>
        </is>
      </c>
      <c r="H16" s="10" t="inlineStr">
        <is>
          <t>동일 SKU 우선 패킹</t>
        </is>
      </c>
    </row>
    <row r="17" ht="30" customHeight="1" s="42">
      <c r="A17" s="10" t="inlineStr">
        <is>
          <t>$.options.max_box_weight_kg</t>
        </is>
      </c>
      <c r="B17" s="10" t="inlineStr">
        <is>
          <t>최대박스중량</t>
        </is>
      </c>
      <c r="C17" s="10" t="inlineStr">
        <is>
          <t>option</t>
        </is>
      </c>
      <c r="D17" s="10" t="inlineStr">
        <is>
          <t>number</t>
        </is>
      </c>
      <c r="E17" s="10" t="inlineStr">
        <is>
          <t>N</t>
        </is>
      </c>
      <c r="F17" s="10" t="inlineStr">
        <is>
          <t>30</t>
        </is>
      </c>
      <c r="G17" s="10" t="inlineStr">
        <is>
          <t>미입력 시 rules_master</t>
        </is>
      </c>
      <c r="H17" s="10" t="inlineStr">
        <is>
          <t>박스당 최대 허용 중량</t>
        </is>
      </c>
    </row>
    <row r="18" ht="30" customHeight="1" s="42">
      <c r="A18" s="10" t="inlineStr">
        <is>
          <t>$.options.output_detail_level</t>
        </is>
      </c>
      <c r="B18" s="10" t="inlineStr">
        <is>
          <t>출력상세수준</t>
        </is>
      </c>
      <c r="C18" s="10" t="inlineStr">
        <is>
          <t>option</t>
        </is>
      </c>
      <c r="D18" s="10" t="inlineStr">
        <is>
          <t>text</t>
        </is>
      </c>
      <c r="E18" s="10" t="inlineStr">
        <is>
          <t>N</t>
        </is>
      </c>
      <c r="F18" s="10" t="inlineStr">
        <is>
          <t>SUMMARY / FULL</t>
        </is>
      </c>
      <c r="G18" s="10" t="inlineStr">
        <is>
          <t>기본 FULL</t>
        </is>
      </c>
      <c r="H18" s="10" t="inlineStr">
        <is>
          <t>결과 JSON 상세 정도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 ht="24" customHeight="1" s="42">
      <c r="A1" s="41" t="inlineStr">
        <is>
          <t>패킹리스트 출력 스키마 확정</t>
        </is>
      </c>
    </row>
    <row r="3" ht="30" customHeight="1" s="42">
      <c r="A3" s="43" t="inlineStr">
        <is>
          <t>field_key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source</t>
        </is>
      </c>
      <c r="G3" s="43" t="inlineStr">
        <is>
          <t>생성 규칙</t>
        </is>
      </c>
      <c r="H3" s="43" t="inlineStr">
        <is>
          <t>설명</t>
        </is>
      </c>
    </row>
    <row r="4">
      <c r="A4" s="46" t="inlineStr">
        <is>
          <t>job_id</t>
        </is>
      </c>
      <c r="B4" s="46" t="inlineStr">
        <is>
          <t>작업ID</t>
        </is>
      </c>
      <c r="C4" s="46" t="inlineStr">
        <is>
          <t>job</t>
        </is>
      </c>
      <c r="D4" s="46" t="inlineStr">
        <is>
          <t>text</t>
        </is>
      </c>
      <c r="E4" s="46" t="inlineStr">
        <is>
          <t>Y</t>
        </is>
      </c>
      <c r="F4" s="46" t="inlineStr">
        <is>
          <t>engine runtime</t>
        </is>
      </c>
      <c r="G4" s="46" t="inlineStr">
        <is>
          <t>실행 단위별 고유값</t>
        </is>
      </c>
      <c r="H4" s="46" t="inlineStr">
        <is>
          <t>1회 계산 요청 식별자</t>
        </is>
      </c>
    </row>
    <row r="5">
      <c r="A5" s="46" t="inlineStr">
        <is>
          <t>order_line_no</t>
        </is>
      </c>
      <c r="B5" s="46" t="inlineStr">
        <is>
          <t>주문행번호</t>
        </is>
      </c>
      <c r="C5" s="46" t="inlineStr">
        <is>
          <t>line</t>
        </is>
      </c>
      <c r="D5" s="46" t="inlineStr">
        <is>
          <t>number</t>
        </is>
      </c>
      <c r="E5" s="46" t="inlineStr">
        <is>
          <t>Y</t>
        </is>
      </c>
      <c r="F5" s="46" t="inlineStr">
        <is>
          <t>input order</t>
        </is>
      </c>
      <c r="G5" s="46" t="inlineStr">
        <is>
          <t>입력 행 순번 유지</t>
        </is>
      </c>
      <c r="H5" s="46" t="inlineStr">
        <is>
          <t>원주문 라인 추적</t>
        </is>
      </c>
    </row>
    <row r="6">
      <c r="A6" s="46" t="inlineStr">
        <is>
          <t>input_product_code</t>
        </is>
      </c>
      <c r="B6" s="46" t="inlineStr">
        <is>
          <t>입력상품코드</t>
        </is>
      </c>
      <c r="C6" s="46" t="inlineStr">
        <is>
          <t>line</t>
        </is>
      </c>
      <c r="D6" s="46" t="inlineStr">
        <is>
          <t>text</t>
        </is>
      </c>
      <c r="E6" s="46" t="inlineStr">
        <is>
          <t>Y</t>
        </is>
      </c>
      <c r="F6" s="46" t="inlineStr">
        <is>
          <t>input order</t>
        </is>
      </c>
      <c r="G6" s="46" t="inlineStr">
        <is>
          <t>원입력값</t>
        </is>
      </c>
      <c r="H6" s="46" t="inlineStr">
        <is>
          <t>주문 기준 상품코드</t>
        </is>
      </c>
    </row>
    <row r="7">
      <c r="A7" s="46" t="inlineStr">
        <is>
          <t>input_product_name</t>
        </is>
      </c>
      <c r="B7" s="46" t="inlineStr">
        <is>
          <t>입력상품명</t>
        </is>
      </c>
      <c r="C7" s="46" t="inlineStr">
        <is>
          <t>line</t>
        </is>
      </c>
      <c r="D7" s="46" t="inlineStr">
        <is>
          <t>text</t>
        </is>
      </c>
      <c r="E7" s="46" t="inlineStr">
        <is>
          <t>N</t>
        </is>
      </c>
      <c r="F7" s="46" t="inlineStr">
        <is>
          <t>input order</t>
        </is>
      </c>
      <c r="G7" s="46" t="inlineStr">
        <is>
          <t>원입력값</t>
        </is>
      </c>
      <c r="H7" s="46" t="inlineStr">
        <is>
          <t>주문 기준 상품명</t>
        </is>
      </c>
    </row>
    <row r="8">
      <c r="A8" s="46" t="inlineStr">
        <is>
          <t>normalized_product_code</t>
        </is>
      </c>
      <c r="B8" s="46" t="inlineStr">
        <is>
          <t>정규화상품코드</t>
        </is>
      </c>
      <c r="C8" s="46" t="inlineStr">
        <is>
          <t>line</t>
        </is>
      </c>
      <c r="D8" s="46" t="inlineStr">
        <is>
          <t>text</t>
        </is>
      </c>
      <c r="E8" s="46" t="inlineStr">
        <is>
          <t>Y</t>
        </is>
      </c>
      <c r="F8" s="46" t="inlineStr">
        <is>
          <t>products_master</t>
        </is>
      </c>
      <c r="G8" s="46" t="inlineStr">
        <is>
          <t>정규화 결과</t>
        </is>
      </c>
      <c r="H8" s="46" t="inlineStr">
        <is>
          <t>계산 기준 상품코드</t>
        </is>
      </c>
    </row>
    <row r="9" ht="30" customHeight="1" s="42">
      <c r="A9" s="46" t="inlineStr">
        <is>
          <t>product_type</t>
        </is>
      </c>
      <c r="B9" s="46" t="inlineStr">
        <is>
          <t>상품유형</t>
        </is>
      </c>
      <c r="C9" s="46" t="inlineStr">
        <is>
          <t>line</t>
        </is>
      </c>
      <c r="D9" s="46" t="inlineStr">
        <is>
          <t>text</t>
        </is>
      </c>
      <c r="E9" s="46" t="inlineStr">
        <is>
          <t>Y</t>
        </is>
      </c>
      <c r="F9" s="46" t="inlineStr">
        <is>
          <t>products_master/packages_master</t>
        </is>
      </c>
      <c r="G9" s="46" t="inlineStr">
        <is>
          <t>NORMAL/SPECIAL_300/PACKAGE_SEALED/FULLBOX_CARTON</t>
        </is>
      </c>
      <c r="H9" s="46" t="inlineStr">
        <is>
          <t>계산 분기용</t>
        </is>
      </c>
    </row>
    <row r="10">
      <c r="A10" s="46" t="inlineStr">
        <is>
          <t>carton_seq</t>
        </is>
      </c>
      <c r="B10" s="46" t="inlineStr">
        <is>
          <t>카톤순번</t>
        </is>
      </c>
      <c r="C10" s="46" t="inlineStr">
        <is>
          <t>carton</t>
        </is>
      </c>
      <c r="D10" s="46" t="inlineStr">
        <is>
          <t>number</t>
        </is>
      </c>
      <c r="E10" s="46" t="inlineStr">
        <is>
          <t>Y</t>
        </is>
      </c>
      <c r="F10" s="46" t="inlineStr">
        <is>
          <t>engine runtime</t>
        </is>
      </c>
      <c r="G10" s="46" t="inlineStr">
        <is>
          <t>최종 카톤 정렬 후 순번 부여</t>
        </is>
      </c>
      <c r="H10" s="46" t="inlineStr">
        <is>
          <t>출력용 박스 번호</t>
        </is>
      </c>
    </row>
    <row r="11" ht="30" customHeight="1" s="42">
      <c r="A11" s="46" t="inlineStr">
        <is>
          <t>carton_type</t>
        </is>
      </c>
      <c r="B11" s="46" t="inlineStr">
        <is>
          <t>카톤유형</t>
        </is>
      </c>
      <c r="C11" s="46" t="inlineStr">
        <is>
          <t>carton</t>
        </is>
      </c>
      <c r="D11" s="46" t="inlineStr">
        <is>
          <t>text</t>
        </is>
      </c>
      <c r="E11" s="46" t="inlineStr">
        <is>
          <t>Y</t>
        </is>
      </c>
      <c r="F11" s="46" t="inlineStr">
        <is>
          <t>engine runtime</t>
        </is>
      </c>
      <c r="G11" s="46" t="inlineStr">
        <is>
          <t>STANDARD_BOX/FULLBOX_CARTON/PACKAGE_UNIT</t>
        </is>
      </c>
      <c r="H11" s="46" t="inlineStr">
        <is>
          <t>카톤 해석 유형</t>
        </is>
      </c>
    </row>
    <row r="12" ht="30" customHeight="1" s="42">
      <c r="A12" s="46" t="inlineStr">
        <is>
          <t>carton_code</t>
        </is>
      </c>
      <c r="B12" s="46" t="inlineStr">
        <is>
          <t>카톤코드</t>
        </is>
      </c>
      <c r="C12" s="46" t="inlineStr">
        <is>
          <t>carton</t>
        </is>
      </c>
      <c r="D12" s="46" t="inlineStr">
        <is>
          <t>text</t>
        </is>
      </c>
      <c r="E12" s="46" t="inlineStr">
        <is>
          <t>Y</t>
        </is>
      </c>
      <c r="F12" s="46" t="inlineStr">
        <is>
          <t>boxes_master/fullbox_cartons_master/packages_master</t>
        </is>
      </c>
      <c r="G12" s="46" t="inlineStr">
        <is>
          <t>참조 마스터 코드</t>
        </is>
      </c>
      <c r="H12" s="46" t="inlineStr">
        <is>
          <t>사용 카톤 식별자</t>
        </is>
      </c>
    </row>
    <row r="13" ht="30" customHeight="1" s="42">
      <c r="A13" s="46" t="inlineStr">
        <is>
          <t>carton_name</t>
        </is>
      </c>
      <c r="B13" s="46" t="inlineStr">
        <is>
          <t>카톤명</t>
        </is>
      </c>
      <c r="C13" s="46" t="inlineStr">
        <is>
          <t>carton</t>
        </is>
      </c>
      <c r="D13" s="46" t="inlineStr">
        <is>
          <t>text</t>
        </is>
      </c>
      <c r="E13" s="46" t="inlineStr">
        <is>
          <t>N</t>
        </is>
      </c>
      <c r="F13" s="46" t="inlineStr">
        <is>
          <t>boxes_master/fullbox_cartons_master/packages_master</t>
        </is>
      </c>
      <c r="G13" s="46" t="inlineStr">
        <is>
          <t>참조 이름</t>
        </is>
      </c>
      <c r="H13" s="46" t="inlineStr">
        <is>
          <t>사용 카톤 표시명</t>
        </is>
      </c>
    </row>
    <row r="14">
      <c r="A14" s="46" t="inlineStr">
        <is>
          <t>outer_length_cm</t>
        </is>
      </c>
      <c r="B14" s="46" t="inlineStr">
        <is>
          <t>외경가로(cm)</t>
        </is>
      </c>
      <c r="C14" s="46" t="inlineStr">
        <is>
          <t>carton</t>
        </is>
      </c>
      <c r="D14" s="46" t="inlineStr">
        <is>
          <t>number</t>
        </is>
      </c>
      <c r="E14" s="46" t="inlineStr">
        <is>
          <t>Y</t>
        </is>
      </c>
      <c r="F14" s="46" t="inlineStr">
        <is>
          <t>carton master</t>
        </is>
      </c>
      <c r="G14" s="46" t="inlineStr">
        <is>
          <t>선택 카톤 외경</t>
        </is>
      </c>
      <c r="H14" s="46" t="inlineStr">
        <is>
          <t>출력 규격</t>
        </is>
      </c>
    </row>
    <row r="15">
      <c r="A15" s="46" t="inlineStr">
        <is>
          <t>outer_width_cm</t>
        </is>
      </c>
      <c r="B15" s="46" t="inlineStr">
        <is>
          <t>외경세로(cm)</t>
        </is>
      </c>
      <c r="C15" s="46" t="inlineStr">
        <is>
          <t>carton</t>
        </is>
      </c>
      <c r="D15" s="46" t="inlineStr">
        <is>
          <t>number</t>
        </is>
      </c>
      <c r="E15" s="46" t="inlineStr">
        <is>
          <t>Y</t>
        </is>
      </c>
      <c r="F15" s="46" t="inlineStr">
        <is>
          <t>carton master</t>
        </is>
      </c>
      <c r="G15" s="46" t="inlineStr">
        <is>
          <t>선택 카톤 외경</t>
        </is>
      </c>
      <c r="H15" s="46" t="inlineStr">
        <is>
          <t>출력 규격</t>
        </is>
      </c>
    </row>
    <row r="16">
      <c r="A16" s="46" t="inlineStr">
        <is>
          <t>outer_height_cm</t>
        </is>
      </c>
      <c r="B16" s="46" t="inlineStr">
        <is>
          <t>외경높이(cm)</t>
        </is>
      </c>
      <c r="C16" s="46" t="inlineStr">
        <is>
          <t>carton</t>
        </is>
      </c>
      <c r="D16" s="46" t="inlineStr">
        <is>
          <t>number</t>
        </is>
      </c>
      <c r="E16" s="46" t="inlineStr">
        <is>
          <t>Y</t>
        </is>
      </c>
      <c r="F16" s="46" t="inlineStr">
        <is>
          <t>carton master</t>
        </is>
      </c>
      <c r="G16" s="46" t="inlineStr">
        <is>
          <t>선택 카톤 외경</t>
        </is>
      </c>
      <c r="H16" s="46" t="inlineStr">
        <is>
          <t>출력 규격</t>
        </is>
      </c>
    </row>
    <row r="17">
      <c r="A17" s="46" t="inlineStr">
        <is>
          <t>packed_qty</t>
        </is>
      </c>
      <c r="B17" s="46" t="inlineStr">
        <is>
          <t>포장수량</t>
        </is>
      </c>
      <c r="C17" s="46" t="inlineStr">
        <is>
          <t>carton-item</t>
        </is>
      </c>
      <c r="D17" s="46" t="inlineStr">
        <is>
          <t>number</t>
        </is>
      </c>
      <c r="E17" s="46" t="inlineStr">
        <is>
          <t>Y</t>
        </is>
      </c>
      <c r="F17" s="46" t="inlineStr">
        <is>
          <t>engine runtime</t>
        </is>
      </c>
      <c r="G17" s="46" t="inlineStr">
        <is>
          <t>카톤별 실제 배정 수량</t>
        </is>
      </c>
      <c r="H17" s="46" t="inlineStr">
        <is>
          <t>카톤 내 총 수량</t>
        </is>
      </c>
    </row>
    <row r="18">
      <c r="A18" s="46" t="inlineStr">
        <is>
          <t>gross_weight_kg</t>
        </is>
      </c>
      <c r="B18" s="46" t="inlineStr">
        <is>
          <t>총중량(kg)</t>
        </is>
      </c>
      <c r="C18" s="46" t="inlineStr">
        <is>
          <t>carton</t>
        </is>
      </c>
      <c r="D18" s="46" t="inlineStr">
        <is>
          <t>number</t>
        </is>
      </c>
      <c r="E18" s="46" t="inlineStr">
        <is>
          <t>Y</t>
        </is>
      </c>
      <c r="F18" s="46" t="inlineStr">
        <is>
          <t>engine runtime</t>
        </is>
      </c>
      <c r="G18" s="46" t="inlineStr">
        <is>
          <t>상품+카톤 중량</t>
        </is>
      </c>
      <c r="H18" s="46" t="inlineStr">
        <is>
          <t>30kg 검증 대상</t>
        </is>
      </c>
    </row>
    <row r="19">
      <c r="A19" s="46" t="inlineStr">
        <is>
          <t>fullbox_applied_yn</t>
        </is>
      </c>
      <c r="B19" s="46" t="inlineStr">
        <is>
          <t>완박스적용여부</t>
        </is>
      </c>
      <c r="C19" s="46" t="inlineStr">
        <is>
          <t>line</t>
        </is>
      </c>
      <c r="D19" s="46" t="inlineStr">
        <is>
          <t>text</t>
        </is>
      </c>
      <c r="E19" s="46" t="inlineStr">
        <is>
          <t>Y</t>
        </is>
      </c>
      <c r="F19" s="46" t="inlineStr">
        <is>
          <t>fullboxes_master</t>
        </is>
      </c>
      <c r="G19" s="46" t="inlineStr">
        <is>
          <t>Y/N</t>
        </is>
      </c>
      <c r="H19" s="46" t="inlineStr">
        <is>
          <t>완박스 우선 배정 여부</t>
        </is>
      </c>
    </row>
    <row r="20" ht="30" customHeight="1" s="42">
      <c r="A20" s="46" t="inlineStr">
        <is>
          <t>package_kept_yn</t>
        </is>
      </c>
      <c r="B20" s="46" t="inlineStr">
        <is>
          <t>패키지유지여부</t>
        </is>
      </c>
      <c r="C20" s="46" t="inlineStr">
        <is>
          <t>line</t>
        </is>
      </c>
      <c r="D20" s="46" t="inlineStr">
        <is>
          <t>text</t>
        </is>
      </c>
      <c r="E20" s="46" t="inlineStr">
        <is>
          <t>Y</t>
        </is>
      </c>
      <c r="F20" s="46" t="inlineStr">
        <is>
          <t>packages_master</t>
        </is>
      </c>
      <c r="G20" s="46" t="inlineStr">
        <is>
          <t>Y/N</t>
        </is>
      </c>
      <c r="H20" s="46" t="inlineStr">
        <is>
          <t>패키지 해체 없이 유지되었는지</t>
        </is>
      </c>
    </row>
    <row r="21" ht="30" customHeight="1" s="42">
      <c r="A21" s="46" t="inlineStr">
        <is>
          <t>special_rule_applied_yn</t>
        </is>
      </c>
      <c r="B21" s="46" t="inlineStr">
        <is>
          <t>특수규칙적용여부</t>
        </is>
      </c>
      <c r="C21" s="46" t="inlineStr">
        <is>
          <t>line</t>
        </is>
      </c>
      <c r="D21" s="46" t="inlineStr">
        <is>
          <t>text</t>
        </is>
      </c>
      <c r="E21" s="46" t="inlineStr">
        <is>
          <t>Y</t>
        </is>
      </c>
      <c r="F21" s="46" t="inlineStr">
        <is>
          <t>products_master/rules_master</t>
        </is>
      </c>
      <c r="G21" s="46" t="inlineStr">
        <is>
          <t>Y/N</t>
        </is>
      </c>
      <c r="H21" s="46" t="inlineStr">
        <is>
          <t>300개 우선 박스 규칙 적용 여부</t>
        </is>
      </c>
    </row>
    <row r="22">
      <c r="A22" s="46" t="inlineStr">
        <is>
          <t>empty_top_space_cm</t>
        </is>
      </c>
      <c r="B22" s="46" t="inlineStr">
        <is>
          <t>상단유효공간(cm)</t>
        </is>
      </c>
      <c r="C22" s="46" t="inlineStr">
        <is>
          <t>carton</t>
        </is>
      </c>
      <c r="D22" s="46" t="inlineStr">
        <is>
          <t>number</t>
        </is>
      </c>
      <c r="E22" s="46" t="inlineStr">
        <is>
          <t>N</t>
        </is>
      </c>
      <c r="F22" s="46" t="inlineStr">
        <is>
          <t>engine runtime</t>
        </is>
      </c>
      <c r="G22" s="46" t="inlineStr">
        <is>
          <t>카톤 상단 잔여공간</t>
        </is>
      </c>
      <c r="H22" s="46" t="inlineStr">
        <is>
          <t>제단 안내 기준</t>
        </is>
      </c>
    </row>
    <row r="23">
      <c r="A23" s="46" t="inlineStr">
        <is>
          <t>trim_notice_yn</t>
        </is>
      </c>
      <c r="B23" s="46" t="inlineStr">
        <is>
          <t>제단안내여부</t>
        </is>
      </c>
      <c r="C23" s="46" t="inlineStr">
        <is>
          <t>carton</t>
        </is>
      </c>
      <c r="D23" s="46" t="inlineStr">
        <is>
          <t>text</t>
        </is>
      </c>
      <c r="E23" s="46" t="inlineStr">
        <is>
          <t>N</t>
        </is>
      </c>
      <c r="F23" s="46" t="inlineStr">
        <is>
          <t>engine runtime</t>
        </is>
      </c>
      <c r="G23" s="46" t="inlineStr">
        <is>
          <t>2cm 이상이면 Y</t>
        </is>
      </c>
      <c r="H23" s="46" t="inlineStr">
        <is>
          <t>상단 제단 안내</t>
        </is>
      </c>
    </row>
    <row r="24">
      <c r="A24" s="46" t="inlineStr">
        <is>
          <t>trim_possible_height_cm</t>
        </is>
      </c>
      <c r="B24" s="46" t="inlineStr">
        <is>
          <t>제단가능높이(cm)</t>
        </is>
      </c>
      <c r="C24" s="46" t="inlineStr">
        <is>
          <t>carton</t>
        </is>
      </c>
      <c r="D24" s="46" t="inlineStr">
        <is>
          <t>number</t>
        </is>
      </c>
      <c r="E24" s="46" t="inlineStr">
        <is>
          <t>N</t>
        </is>
      </c>
      <c r="F24" s="46" t="inlineStr">
        <is>
          <t>engine runtime</t>
        </is>
      </c>
      <c r="G24" s="46" t="inlineStr">
        <is>
          <t>안전 제단 가능 높이</t>
        </is>
      </c>
      <c r="H24" s="46" t="inlineStr">
        <is>
          <t>안내용</t>
        </is>
      </c>
    </row>
    <row r="25">
      <c r="A25" s="46" t="inlineStr">
        <is>
          <t>manual_review_yn</t>
        </is>
      </c>
      <c r="B25" s="46" t="inlineStr">
        <is>
          <t>수동검토여부</t>
        </is>
      </c>
      <c r="C25" s="46" t="inlineStr">
        <is>
          <t>carton</t>
        </is>
      </c>
      <c r="D25" s="46" t="inlineStr">
        <is>
          <t>text</t>
        </is>
      </c>
      <c r="E25" s="46" t="inlineStr">
        <is>
          <t>Y</t>
        </is>
      </c>
      <c r="F25" s="46" t="inlineStr">
        <is>
          <t>engine runtime</t>
        </is>
      </c>
      <c r="G25" s="46" t="inlineStr">
        <is>
          <t>예외/누락 시 Y</t>
        </is>
      </c>
      <c r="H25" s="46" t="inlineStr">
        <is>
          <t>작업자 검토 필요</t>
        </is>
      </c>
    </row>
    <row r="26" ht="30" customHeight="1" s="42">
      <c r="A26" s="46" t="inlineStr">
        <is>
          <t>manual_review_reason</t>
        </is>
      </c>
      <c r="B26" s="46" t="inlineStr">
        <is>
          <t>수동검토사유</t>
        </is>
      </c>
      <c r="C26" s="46" t="inlineStr">
        <is>
          <t>carton</t>
        </is>
      </c>
      <c r="D26" s="46" t="inlineStr">
        <is>
          <t>text</t>
        </is>
      </c>
      <c r="E26" s="46" t="inlineStr">
        <is>
          <t>N</t>
        </is>
      </c>
      <c r="F26" s="46" t="inlineStr">
        <is>
          <t>engine runtime</t>
        </is>
      </c>
      <c r="G26" s="46" t="inlineStr">
        <is>
          <t>예외 사유 기록</t>
        </is>
      </c>
      <c r="H26" s="46" t="inlineStr">
        <is>
          <t>누락/정책충돌/박스부재 등</t>
        </is>
      </c>
    </row>
    <row r="27">
      <c r="A27" s="46" t="inlineStr">
        <is>
          <t>packing_note</t>
        </is>
      </c>
      <c r="B27" s="46" t="inlineStr">
        <is>
          <t>패킹메모</t>
        </is>
      </c>
      <c r="C27" s="46" t="inlineStr">
        <is>
          <t>carton</t>
        </is>
      </c>
      <c r="D27" s="46" t="inlineStr">
        <is>
          <t>text</t>
        </is>
      </c>
      <c r="E27" s="46" t="inlineStr">
        <is>
          <t>N</t>
        </is>
      </c>
      <c r="F27" s="46" t="inlineStr">
        <is>
          <t>engine runtime</t>
        </is>
      </c>
      <c r="G27" s="46" t="inlineStr">
        <is>
          <t>사용자 안내 문구</t>
        </is>
      </c>
      <c r="H27" s="46" t="inlineStr">
        <is>
          <t>출력 템플릿 표기용</t>
        </is>
      </c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18" customWidth="1" style="42" min="2" max="2"/>
    <col width="12" customWidth="1" style="42" min="3" max="4"/>
    <col width="10" customWidth="1" style="42" min="5" max="5"/>
    <col width="28" customWidth="1" style="42" min="6" max="6"/>
    <col width="34" customWidth="1" style="42" min="7" max="7"/>
    <col width="26" customWidth="1" style="42" min="8" max="8"/>
  </cols>
  <sheetData>
    <row r="1">
      <c r="A1" s="41" t="inlineStr">
        <is>
          <t>출력 JSON 스키마 확정</t>
        </is>
      </c>
    </row>
    <row r="3">
      <c r="A3" s="43" t="inlineStr">
        <is>
          <t>json_path</t>
        </is>
      </c>
      <c r="B3" s="43" t="inlineStr">
        <is>
          <t>필드명(ko)</t>
        </is>
      </c>
      <c r="C3" s="43" t="inlineStr">
        <is>
          <t>level</t>
        </is>
      </c>
      <c r="D3" s="43" t="inlineStr">
        <is>
          <t>type</t>
        </is>
      </c>
      <c r="E3" s="43" t="inlineStr">
        <is>
          <t>required</t>
        </is>
      </c>
      <c r="F3" s="43" t="inlineStr">
        <is>
          <t>enum/example</t>
        </is>
      </c>
      <c r="G3" s="43" t="inlineStr">
        <is>
          <t>validation_rule</t>
        </is>
      </c>
      <c r="H3" s="43" t="inlineStr">
        <is>
          <t>설명</t>
        </is>
      </c>
    </row>
    <row r="4">
      <c r="A4" s="10" t="inlineStr">
        <is>
          <t>$.response_version</t>
        </is>
      </c>
      <c r="B4" s="10" t="inlineStr">
        <is>
          <t>응답버전</t>
        </is>
      </c>
      <c r="C4" s="10" t="inlineStr">
        <is>
          <t>job</t>
        </is>
      </c>
      <c r="D4" s="10" t="inlineStr">
        <is>
          <t>text</t>
        </is>
      </c>
      <c r="E4" s="10" t="inlineStr">
        <is>
          <t>Y</t>
        </is>
      </c>
      <c r="F4" s="10" t="inlineStr">
        <is>
          <t>v1</t>
        </is>
      </c>
      <c r="G4" s="10" t="inlineStr">
        <is>
          <t>고정</t>
        </is>
      </c>
      <c r="H4" s="10" t="inlineStr">
        <is>
          <t>응답 JSON 버전</t>
        </is>
      </c>
    </row>
    <row r="5">
      <c r="A5" s="10" t="inlineStr">
        <is>
          <t>$.job_id</t>
        </is>
      </c>
      <c r="B5" s="10" t="inlineStr">
        <is>
          <t>작업ID</t>
        </is>
      </c>
      <c r="C5" s="10" t="inlineStr">
        <is>
          <t>job</t>
        </is>
      </c>
      <c r="D5" s="10" t="inlineStr">
        <is>
          <t>text</t>
        </is>
      </c>
      <c r="E5" s="10" t="inlineStr">
        <is>
          <t>Y</t>
        </is>
      </c>
      <c r="F5" s="10" t="inlineStr">
        <is>
          <t>PK-20260310-0001</t>
        </is>
      </c>
      <c r="G5" s="10" t="inlineStr">
        <is>
          <t>request echo</t>
        </is>
      </c>
      <c r="H5" s="10" t="inlineStr">
        <is>
          <t>요청 식별자</t>
        </is>
      </c>
    </row>
    <row r="6">
      <c r="A6" s="10" t="inlineStr">
        <is>
          <t>$.engine_version</t>
        </is>
      </c>
      <c r="B6" s="10" t="inlineStr">
        <is>
          <t>엔진버전</t>
        </is>
      </c>
      <c r="C6" s="10" t="inlineStr">
        <is>
          <t>job</t>
        </is>
      </c>
      <c r="D6" s="10" t="inlineStr">
        <is>
          <t>text</t>
        </is>
      </c>
      <c r="E6" s="10" t="inlineStr">
        <is>
          <t>Y</t>
        </is>
      </c>
      <c r="F6" s="10" t="inlineStr">
        <is>
          <t>packing-engine-v1</t>
        </is>
      </c>
      <c r="G6" s="10" t="inlineStr">
        <is>
          <t>runtime</t>
        </is>
      </c>
      <c r="H6" s="10" t="inlineStr">
        <is>
          <t>엔진 배포 버전</t>
        </is>
      </c>
    </row>
    <row r="7" ht="30" customHeight="1" s="42">
      <c r="A7" s="10" t="inlineStr">
        <is>
          <t>$.request_echo.packing_mode</t>
        </is>
      </c>
      <c r="B7" s="10" t="inlineStr">
        <is>
          <t>요청출고방법</t>
        </is>
      </c>
      <c r="C7" s="10" t="inlineStr">
        <is>
          <t>job</t>
        </is>
      </c>
      <c r="D7" s="10" t="inlineStr">
        <is>
          <t>text</t>
        </is>
      </c>
      <c r="E7" s="10" t="inlineStr">
        <is>
          <t>Y</t>
        </is>
      </c>
      <c r="F7" s="10" t="inlineStr">
        <is>
          <t>AUTO</t>
        </is>
      </c>
      <c r="G7" s="10" t="inlineStr">
        <is>
          <t>request echo</t>
        </is>
      </c>
      <c r="H7" s="10" t="inlineStr">
        <is>
          <t>원요청 추적</t>
        </is>
      </c>
    </row>
    <row r="8" ht="30" customHeight="1" s="42">
      <c r="A8" s="10" t="inlineStr">
        <is>
          <t>$.request_echo.packing_list_required</t>
        </is>
      </c>
      <c r="B8" s="10" t="inlineStr">
        <is>
          <t>요청패킹리스트필요</t>
        </is>
      </c>
      <c r="C8" s="10" t="inlineStr">
        <is>
          <t>job</t>
        </is>
      </c>
      <c r="D8" s="10" t="inlineStr">
        <is>
          <t>boolean</t>
        </is>
      </c>
      <c r="E8" s="10" t="inlineStr">
        <is>
          <t>Y</t>
        </is>
      </c>
      <c r="F8" s="10" t="inlineStr">
        <is>
          <t>false</t>
        </is>
      </c>
      <c r="G8" s="10" t="inlineStr">
        <is>
          <t>request echo</t>
        </is>
      </c>
      <c r="H8" s="10" t="inlineStr">
        <is>
          <t>원요청 추적</t>
        </is>
      </c>
    </row>
    <row r="9" ht="30" customHeight="1" s="42">
      <c r="A9" s="10" t="inlineStr">
        <is>
          <t>$.summary.total_input_lines</t>
        </is>
      </c>
      <c r="B9" s="10" t="inlineStr">
        <is>
          <t>총입력행수</t>
        </is>
      </c>
      <c r="C9" s="10" t="inlineStr">
        <is>
          <t>summary</t>
        </is>
      </c>
      <c r="D9" s="10" t="inlineStr">
        <is>
          <t>number</t>
        </is>
      </c>
      <c r="E9" s="10" t="inlineStr">
        <is>
          <t>Y</t>
        </is>
      </c>
      <c r="F9" s="10" t="inlineStr">
        <is>
          <t>3</t>
        </is>
      </c>
      <c r="G9" s="10" t="inlineStr">
        <is>
          <t>sum</t>
        </is>
      </c>
      <c r="H9" s="10" t="inlineStr">
        <is>
          <t>입력 라인 수</t>
        </is>
      </c>
    </row>
    <row r="10" ht="30" customHeight="1" s="42">
      <c r="A10" s="10" t="inlineStr">
        <is>
          <t>$.summary.total_input_qty</t>
        </is>
      </c>
      <c r="B10" s="10" t="inlineStr">
        <is>
          <t>총입력수량</t>
        </is>
      </c>
      <c r="C10" s="10" t="inlineStr">
        <is>
          <t>summary</t>
        </is>
      </c>
      <c r="D10" s="10" t="inlineStr">
        <is>
          <t>number</t>
        </is>
      </c>
      <c r="E10" s="10" t="inlineStr">
        <is>
          <t>Y</t>
        </is>
      </c>
      <c r="F10" s="10" t="inlineStr">
        <is>
          <t>325</t>
        </is>
      </c>
      <c r="G10" s="10" t="inlineStr">
        <is>
          <t>sum</t>
        </is>
      </c>
      <c r="H10" s="10" t="inlineStr">
        <is>
          <t>총 주문 수량</t>
        </is>
      </c>
    </row>
    <row r="11">
      <c r="A11" s="10" t="inlineStr">
        <is>
          <t>$.summary.total_cartons</t>
        </is>
      </c>
      <c r="B11" s="10" t="inlineStr">
        <is>
          <t>총카톤수</t>
        </is>
      </c>
      <c r="C11" s="10" t="inlineStr">
        <is>
          <t>summary</t>
        </is>
      </c>
      <c r="D11" s="10" t="inlineStr">
        <is>
          <t>number</t>
        </is>
      </c>
      <c r="E11" s="10" t="inlineStr">
        <is>
          <t>Y</t>
        </is>
      </c>
      <c r="F11" s="10" t="inlineStr">
        <is>
          <t>2</t>
        </is>
      </c>
      <c r="G11" s="10" t="inlineStr">
        <is>
          <t>count</t>
        </is>
      </c>
      <c r="H11" s="10" t="inlineStr">
        <is>
          <t>최종 출고 카톤 수</t>
        </is>
      </c>
    </row>
    <row r="12" ht="30" customHeight="1" s="42">
      <c r="A12" s="10" t="inlineStr">
        <is>
          <t>$.summary.manual_review_yn</t>
        </is>
      </c>
      <c r="B12" s="10" t="inlineStr">
        <is>
          <t>수동검토여부</t>
        </is>
      </c>
      <c r="C12" s="10" t="inlineStr">
        <is>
          <t>summary</t>
        </is>
      </c>
      <c r="D12" s="10" t="inlineStr">
        <is>
          <t>text</t>
        </is>
      </c>
      <c r="E12" s="10" t="inlineStr">
        <is>
          <t>Y</t>
        </is>
      </c>
      <c r="F12" s="10" t="inlineStr">
        <is>
          <t>N</t>
        </is>
      </c>
      <c r="G12" s="10" t="inlineStr">
        <is>
          <t>Y/N</t>
        </is>
      </c>
      <c r="H12" s="10" t="inlineStr">
        <is>
          <t>예외 존재 여부</t>
        </is>
      </c>
    </row>
    <row r="13">
      <c r="A13" s="10" t="inlineStr">
        <is>
          <t>$.cartons</t>
        </is>
      </c>
      <c r="B13" s="10" t="inlineStr">
        <is>
          <t>카톤목록</t>
        </is>
      </c>
      <c r="C13" s="10" t="inlineStr">
        <is>
          <t>array</t>
        </is>
      </c>
      <c r="D13" s="10" t="inlineStr">
        <is>
          <t>array</t>
        </is>
      </c>
      <c r="E13" s="10" t="inlineStr">
        <is>
          <t>Y</t>
        </is>
      </c>
      <c r="F13" s="10" t="inlineStr">
        <is>
          <t>[...]</t>
        </is>
      </c>
      <c r="G13" s="10" t="inlineStr">
        <is>
          <t>0건 가능</t>
        </is>
      </c>
      <c r="H13" s="10" t="inlineStr">
        <is>
          <t>최종 출고 카톤 배열</t>
        </is>
      </c>
    </row>
    <row r="14">
      <c r="A14" s="10" t="inlineStr">
        <is>
          <t>$.cartons[].carton_seq</t>
        </is>
      </c>
      <c r="B14" s="10" t="inlineStr">
        <is>
          <t>카톤순번</t>
        </is>
      </c>
      <c r="C14" s="10" t="inlineStr">
        <is>
          <t>carton</t>
        </is>
      </c>
      <c r="D14" s="10" t="inlineStr">
        <is>
          <t>number</t>
        </is>
      </c>
      <c r="E14" s="10" t="inlineStr">
        <is>
          <t>Y</t>
        </is>
      </c>
      <c r="F14" s="10" t="inlineStr">
        <is>
          <t>1</t>
        </is>
      </c>
      <c r="G14" s="10" t="inlineStr">
        <is>
          <t>1부터 순차</t>
        </is>
      </c>
      <c r="H14" s="10" t="inlineStr">
        <is>
          <t>출력용 카톤 번호</t>
        </is>
      </c>
    </row>
    <row r="15" ht="30" customHeight="1" s="42">
      <c r="A15" s="10" t="inlineStr">
        <is>
          <t>$.cartons[].carton_type</t>
        </is>
      </c>
      <c r="B15" s="10" t="inlineStr">
        <is>
          <t>카톤유형</t>
        </is>
      </c>
      <c r="C15" s="10" t="inlineStr">
        <is>
          <t>carton</t>
        </is>
      </c>
      <c r="D15" s="10" t="inlineStr">
        <is>
          <t>text</t>
        </is>
      </c>
      <c r="E15" s="10" t="inlineStr">
        <is>
          <t>Y</t>
        </is>
      </c>
      <c r="F15" s="10" t="inlineStr">
        <is>
          <t>STANDARD_BOX</t>
        </is>
      </c>
      <c r="G15" s="10" t="inlineStr">
        <is>
          <t>STANDARD_BOX/FULLBOX_CARTON/PACKAGE_UNIT</t>
        </is>
      </c>
      <c r="H15" s="10" t="inlineStr">
        <is>
          <t>카톤 해석 유형</t>
        </is>
      </c>
    </row>
    <row r="16">
      <c r="A16" s="10" t="inlineStr">
        <is>
          <t>$.cartons[].carton_code</t>
        </is>
      </c>
      <c r="B16" s="10" t="inlineStr">
        <is>
          <t>카톤코드</t>
        </is>
      </c>
      <c r="C16" s="10" t="inlineStr">
        <is>
          <t>carton</t>
        </is>
      </c>
      <c r="D16" s="10" t="inlineStr">
        <is>
          <t>text</t>
        </is>
      </c>
      <c r="E16" s="10" t="inlineStr">
        <is>
          <t>Y</t>
        </is>
      </c>
      <c r="F16" s="10" t="inlineStr">
        <is>
          <t>BX010</t>
        </is>
      </c>
      <c r="G16" s="10" t="inlineStr">
        <is>
          <t>마스터 참조</t>
        </is>
      </c>
      <c r="H16" s="10" t="inlineStr">
        <is>
          <t>카톤 식별 코드</t>
        </is>
      </c>
    </row>
    <row r="17">
      <c r="A17" s="10" t="inlineStr">
        <is>
          <t>$.cartons[].carton_name</t>
        </is>
      </c>
      <c r="B17" s="10" t="inlineStr">
        <is>
          <t>카톤명</t>
        </is>
      </c>
      <c r="C17" s="10" t="inlineStr">
        <is>
          <t>carton</t>
        </is>
      </c>
      <c r="D17" s="10" t="inlineStr">
        <is>
          <t>text</t>
        </is>
      </c>
      <c r="E17" s="10" t="inlineStr">
        <is>
          <t>N</t>
        </is>
      </c>
      <c r="F17" s="10" t="inlineStr">
        <is>
          <t>72 x 48 x 40</t>
        </is>
      </c>
      <c r="G17" s="10" t="inlineStr">
        <is>
          <t>마스터 참조</t>
        </is>
      </c>
      <c r="H17" s="10" t="inlineStr">
        <is>
          <t>표시용 이름</t>
        </is>
      </c>
    </row>
    <row r="18" ht="30" customHeight="1" s="42">
      <c r="A18" s="10" t="inlineStr">
        <is>
          <t>$.cartons[].outer_length_cm</t>
        </is>
      </c>
      <c r="B18" s="10" t="inlineStr">
        <is>
          <t>외경가로(cm)</t>
        </is>
      </c>
      <c r="C18" s="10" t="inlineStr">
        <is>
          <t>carton</t>
        </is>
      </c>
      <c r="D18" s="10" t="inlineStr">
        <is>
          <t>number</t>
        </is>
      </c>
      <c r="E18" s="10" t="inlineStr">
        <is>
          <t>Y</t>
        </is>
      </c>
      <c r="F18" s="10" t="inlineStr">
        <is>
          <t>72</t>
        </is>
      </c>
      <c r="G18" s="10" t="inlineStr">
        <is>
          <t>carton master</t>
        </is>
      </c>
      <c r="H18" s="10" t="inlineStr">
        <is>
          <t>카톤 외경</t>
        </is>
      </c>
    </row>
    <row r="19" ht="30" customHeight="1" s="42">
      <c r="A19" s="10" t="inlineStr">
        <is>
          <t>$.cartons[].outer_width_cm</t>
        </is>
      </c>
      <c r="B19" s="10" t="inlineStr">
        <is>
          <t>외경세로(cm)</t>
        </is>
      </c>
      <c r="C19" s="10" t="inlineStr">
        <is>
          <t>carton</t>
        </is>
      </c>
      <c r="D19" s="10" t="inlineStr">
        <is>
          <t>number</t>
        </is>
      </c>
      <c r="E19" s="10" t="inlineStr">
        <is>
          <t>Y</t>
        </is>
      </c>
      <c r="F19" s="10" t="inlineStr">
        <is>
          <t>48</t>
        </is>
      </c>
      <c r="G19" s="10" t="inlineStr">
        <is>
          <t>carton master</t>
        </is>
      </c>
      <c r="H19" s="10" t="inlineStr">
        <is>
          <t>카톤 외경</t>
        </is>
      </c>
    </row>
    <row r="20" ht="30" customHeight="1" s="42">
      <c r="A20" s="10" t="inlineStr">
        <is>
          <t>$.cartons[].outer_height_cm</t>
        </is>
      </c>
      <c r="B20" s="10" t="inlineStr">
        <is>
          <t>외경높이(cm)</t>
        </is>
      </c>
      <c r="C20" s="10" t="inlineStr">
        <is>
          <t>carton</t>
        </is>
      </c>
      <c r="D20" s="10" t="inlineStr">
        <is>
          <t>number</t>
        </is>
      </c>
      <c r="E20" s="10" t="inlineStr">
        <is>
          <t>Y</t>
        </is>
      </c>
      <c r="F20" s="10" t="inlineStr">
        <is>
          <t>40</t>
        </is>
      </c>
      <c r="G20" s="10" t="inlineStr">
        <is>
          <t>carton master</t>
        </is>
      </c>
      <c r="H20" s="10" t="inlineStr">
        <is>
          <t>카톤 외경</t>
        </is>
      </c>
    </row>
    <row r="21" ht="30" customHeight="1" s="42">
      <c r="A21" s="10" t="inlineStr">
        <is>
          <t>$.cartons[].gross_weight_kg</t>
        </is>
      </c>
      <c r="B21" s="10" t="inlineStr">
        <is>
          <t>총중량(kg)</t>
        </is>
      </c>
      <c r="C21" s="10" t="inlineStr">
        <is>
          <t>carton</t>
        </is>
      </c>
      <c r="D21" s="10" t="inlineStr">
        <is>
          <t>number</t>
        </is>
      </c>
      <c r="E21" s="10" t="inlineStr">
        <is>
          <t>Y</t>
        </is>
      </c>
      <c r="F21" s="10" t="inlineStr">
        <is>
          <t>12.6</t>
        </is>
      </c>
      <c r="G21" s="10" t="inlineStr">
        <is>
          <t>runtime</t>
        </is>
      </c>
      <c r="H21" s="10" t="inlineStr">
        <is>
          <t>30kg 검증 후 값</t>
        </is>
      </c>
    </row>
    <row r="22" ht="30" customHeight="1" s="42">
      <c r="A22" s="10" t="inlineStr">
        <is>
          <t>$.cartons[].empty_top_space_cm</t>
        </is>
      </c>
      <c r="B22" s="10" t="inlineStr">
        <is>
          <t>상단유효공간(cm)</t>
        </is>
      </c>
      <c r="C22" s="10" t="inlineStr">
        <is>
          <t>carton</t>
        </is>
      </c>
      <c r="D22" s="10" t="inlineStr">
        <is>
          <t>number</t>
        </is>
      </c>
      <c r="E22" s="10" t="inlineStr">
        <is>
          <t>N</t>
        </is>
      </c>
      <c r="F22" s="10" t="inlineStr">
        <is>
          <t>3.0</t>
        </is>
      </c>
      <c r="G22" s="10" t="inlineStr">
        <is>
          <t>runtime</t>
        </is>
      </c>
      <c r="H22" s="10" t="inlineStr">
        <is>
          <t>상단 잔여공간</t>
        </is>
      </c>
    </row>
    <row r="23" ht="30" customHeight="1" s="42">
      <c r="A23" s="10" t="inlineStr">
        <is>
          <t>$.cartons[].trim_notice_yn</t>
        </is>
      </c>
      <c r="B23" s="10" t="inlineStr">
        <is>
          <t>제단안내여부</t>
        </is>
      </c>
      <c r="C23" s="10" t="inlineStr">
        <is>
          <t>carton</t>
        </is>
      </c>
      <c r="D23" s="10" t="inlineStr">
        <is>
          <t>text</t>
        </is>
      </c>
      <c r="E23" s="10" t="inlineStr">
        <is>
          <t>N</t>
        </is>
      </c>
      <c r="F23" s="10" t="inlineStr">
        <is>
          <t>Y</t>
        </is>
      </c>
      <c r="G23" s="10" t="inlineStr">
        <is>
          <t>2cm 이상이면 Y</t>
        </is>
      </c>
      <c r="H23" s="10" t="inlineStr">
        <is>
          <t>제단 안내 플래그</t>
        </is>
      </c>
    </row>
    <row r="24" ht="30" customHeight="1" s="42">
      <c r="A24" s="10" t="inlineStr">
        <is>
          <t>$.cartons[].trim_possible_height_cm</t>
        </is>
      </c>
      <c r="B24" s="10" t="inlineStr">
        <is>
          <t>제단가능높이(cm)</t>
        </is>
      </c>
      <c r="C24" s="10" t="inlineStr">
        <is>
          <t>carton</t>
        </is>
      </c>
      <c r="D24" s="10" t="inlineStr">
        <is>
          <t>number</t>
        </is>
      </c>
      <c r="E24" s="10" t="inlineStr">
        <is>
          <t>N</t>
        </is>
      </c>
      <c r="F24" s="10" t="inlineStr">
        <is>
          <t>37</t>
        </is>
      </c>
      <c r="G24" s="10" t="inlineStr">
        <is>
          <t>runtime</t>
        </is>
      </c>
      <c r="H24" s="10" t="inlineStr">
        <is>
          <t>안전 제단 가능 높이</t>
        </is>
      </c>
    </row>
    <row r="25">
      <c r="A25" s="10" t="inlineStr">
        <is>
          <t>$.cartons[].items</t>
        </is>
      </c>
      <c r="B25" s="10" t="inlineStr">
        <is>
          <t>카톤내상품목록</t>
        </is>
      </c>
      <c r="C25" s="10" t="inlineStr">
        <is>
          <t>array</t>
        </is>
      </c>
      <c r="D25" s="10" t="inlineStr">
        <is>
          <t>array</t>
        </is>
      </c>
      <c r="E25" s="10" t="inlineStr">
        <is>
          <t>Y</t>
        </is>
      </c>
      <c r="F25" s="10" t="inlineStr">
        <is>
          <t>[...]</t>
        </is>
      </c>
      <c r="G25" s="10" t="inlineStr">
        <is>
          <t>최소 1행</t>
        </is>
      </c>
      <c r="H25" s="10" t="inlineStr">
        <is>
          <t>카톤 내 배정 라인</t>
        </is>
      </c>
    </row>
    <row r="26" ht="30" customHeight="1" s="42">
      <c r="A26" s="10" t="inlineStr">
        <is>
          <t>$.cartons[].items[].order_line_no</t>
        </is>
      </c>
      <c r="B26" s="10" t="inlineStr">
        <is>
          <t>주문행번호</t>
        </is>
      </c>
      <c r="C26" s="10" t="inlineStr">
        <is>
          <t>carton-item</t>
        </is>
      </c>
      <c r="D26" s="10" t="inlineStr">
        <is>
          <t>number</t>
        </is>
      </c>
      <c r="E26" s="10" t="inlineStr">
        <is>
          <t>Y</t>
        </is>
      </c>
      <c r="F26" s="10" t="inlineStr">
        <is>
          <t>1</t>
        </is>
      </c>
      <c r="G26" s="10" t="inlineStr">
        <is>
          <t>input echo</t>
        </is>
      </c>
      <c r="H26" s="10" t="inlineStr">
        <is>
          <t>원주문 라인 연결</t>
        </is>
      </c>
    </row>
    <row r="27" ht="30" customHeight="1" s="42">
      <c r="A27" s="10" t="inlineStr">
        <is>
          <t>$.cartons[].items[].normalized_product_code</t>
        </is>
      </c>
      <c r="B27" s="10" t="inlineStr">
        <is>
          <t>정규화상품코드</t>
        </is>
      </c>
      <c r="C27" s="10" t="inlineStr">
        <is>
          <t>carton-item</t>
        </is>
      </c>
      <c r="D27" s="10" t="inlineStr">
        <is>
          <t>text</t>
        </is>
      </c>
      <c r="E27" s="10" t="inlineStr">
        <is>
          <t>Y</t>
        </is>
      </c>
      <c r="F27" s="10" t="inlineStr">
        <is>
          <t>P000123</t>
        </is>
      </c>
      <c r="G27" s="10" t="inlineStr">
        <is>
          <t>products_master</t>
        </is>
      </c>
      <c r="H27" s="10" t="inlineStr">
        <is>
          <t>계산 기준 상품코드</t>
        </is>
      </c>
    </row>
    <row r="28" ht="30" customHeight="1" s="42">
      <c r="A28" s="10" t="inlineStr">
        <is>
          <t>$.cartons[].items[].product_name</t>
        </is>
      </c>
      <c r="B28" s="10" t="inlineStr">
        <is>
          <t>상품명</t>
        </is>
      </c>
      <c r="C28" s="10" t="inlineStr">
        <is>
          <t>carton-item</t>
        </is>
      </c>
      <c r="D28" s="10" t="inlineStr">
        <is>
          <t>text</t>
        </is>
      </c>
      <c r="E28" s="10" t="inlineStr">
        <is>
          <t>Y</t>
        </is>
      </c>
      <c r="F28" s="10" t="inlineStr">
        <is>
          <t>리체스 딥 리도(c)</t>
        </is>
      </c>
      <c r="G28" s="10" t="inlineStr">
        <is>
          <t>products_master</t>
        </is>
      </c>
      <c r="H28" s="10" t="inlineStr">
        <is>
          <t>표시용 상품명</t>
        </is>
      </c>
    </row>
    <row r="29" ht="30" customHeight="1" s="42">
      <c r="A29" s="10" t="inlineStr">
        <is>
          <t>$.cartons[].items[].product_type</t>
        </is>
      </c>
      <c r="B29" s="10" t="inlineStr">
        <is>
          <t>상품유형</t>
        </is>
      </c>
      <c r="C29" s="10" t="inlineStr">
        <is>
          <t>carton-item</t>
        </is>
      </c>
      <c r="D29" s="10" t="inlineStr">
        <is>
          <t>text</t>
        </is>
      </c>
      <c r="E29" s="10" t="inlineStr">
        <is>
          <t>Y</t>
        </is>
      </c>
      <c r="F29" s="10" t="inlineStr">
        <is>
          <t>SPECIAL_300</t>
        </is>
      </c>
      <c r="G29" s="10" t="inlineStr">
        <is>
          <t>typed line</t>
        </is>
      </c>
      <c r="H29" s="10" t="inlineStr">
        <is>
          <t>분기 기준</t>
        </is>
      </c>
    </row>
    <row r="30" ht="30" customHeight="1" s="42">
      <c r="A30" s="10" t="inlineStr">
        <is>
          <t>$.cartons[].items[].packed_qty</t>
        </is>
      </c>
      <c r="B30" s="10" t="inlineStr">
        <is>
          <t>배정수량</t>
        </is>
      </c>
      <c r="C30" s="10" t="inlineStr">
        <is>
          <t>carton-item</t>
        </is>
      </c>
      <c r="D30" s="10" t="inlineStr">
        <is>
          <t>number</t>
        </is>
      </c>
      <c r="E30" s="10" t="inlineStr">
        <is>
          <t>Y</t>
        </is>
      </c>
      <c r="F30" s="10" t="inlineStr">
        <is>
          <t>225</t>
        </is>
      </c>
      <c r="G30" s="10" t="inlineStr">
        <is>
          <t>runtime</t>
        </is>
      </c>
      <c r="H30" s="10" t="inlineStr">
        <is>
          <t>해당 카톤 내 수량</t>
        </is>
      </c>
    </row>
    <row r="31" ht="30" customHeight="1" s="42">
      <c r="A31" s="10" t="inlineStr">
        <is>
          <t>$.cartons[].items[].fullbox_applied_yn</t>
        </is>
      </c>
      <c r="B31" s="10" t="inlineStr">
        <is>
          <t>완박스적용여부</t>
        </is>
      </c>
      <c r="C31" s="10" t="inlineStr">
        <is>
          <t>carton-item</t>
        </is>
      </c>
      <c r="D31" s="10" t="inlineStr">
        <is>
          <t>text</t>
        </is>
      </c>
      <c r="E31" s="10" t="inlineStr">
        <is>
          <t>Y</t>
        </is>
      </c>
      <c r="F31" s="10" t="inlineStr">
        <is>
          <t>N</t>
        </is>
      </c>
      <c r="G31" s="10" t="inlineStr">
        <is>
          <t>Y/N</t>
        </is>
      </c>
      <c r="H31" s="10" t="inlineStr">
        <is>
          <t>완박스 우선 배정 여부</t>
        </is>
      </c>
    </row>
    <row r="32" ht="30" customHeight="1" s="42">
      <c r="A32" s="10" t="inlineStr">
        <is>
          <t>$.cartons[].items[].package_kept_yn</t>
        </is>
      </c>
      <c r="B32" s="10" t="inlineStr">
        <is>
          <t>패키지유지여부</t>
        </is>
      </c>
      <c r="C32" s="10" t="inlineStr">
        <is>
          <t>carton-item</t>
        </is>
      </c>
      <c r="D32" s="10" t="inlineStr">
        <is>
          <t>text</t>
        </is>
      </c>
      <c r="E32" s="10" t="inlineStr">
        <is>
          <t>Y</t>
        </is>
      </c>
      <c r="F32" s="10" t="inlineStr">
        <is>
          <t>N</t>
        </is>
      </c>
      <c r="G32" s="10" t="inlineStr">
        <is>
          <t>Y/N</t>
        </is>
      </c>
      <c r="H32" s="10" t="inlineStr">
        <is>
          <t>패키지 유지 여부</t>
        </is>
      </c>
    </row>
    <row r="33" ht="30" customHeight="1" s="42">
      <c r="A33" s="10" t="inlineStr">
        <is>
          <t>$.cartons[].items[].special_rule_applied_yn</t>
        </is>
      </c>
      <c r="B33" s="10" t="inlineStr">
        <is>
          <t>특수규칙적용여부</t>
        </is>
      </c>
      <c r="C33" s="10" t="inlineStr">
        <is>
          <t>carton-item</t>
        </is>
      </c>
      <c r="D33" s="10" t="inlineStr">
        <is>
          <t>text</t>
        </is>
      </c>
      <c r="E33" s="10" t="inlineStr">
        <is>
          <t>Y</t>
        </is>
      </c>
      <c r="F33" s="10" t="inlineStr">
        <is>
          <t>Y</t>
        </is>
      </c>
      <c r="G33" s="10" t="inlineStr">
        <is>
          <t>Y/N</t>
        </is>
      </c>
      <c r="H33" s="10" t="inlineStr">
        <is>
          <t>300개 우선 배정 규칙 여부</t>
        </is>
      </c>
    </row>
    <row r="34">
      <c r="A34" s="10" t="inlineStr">
        <is>
          <t>$.manual_review_items</t>
        </is>
      </c>
      <c r="B34" s="10" t="inlineStr">
        <is>
          <t>수동검토목록</t>
        </is>
      </c>
      <c r="C34" s="10" t="inlineStr">
        <is>
          <t>array</t>
        </is>
      </c>
      <c r="D34" s="10" t="inlineStr">
        <is>
          <t>array</t>
        </is>
      </c>
      <c r="E34" s="10" t="inlineStr">
        <is>
          <t>N</t>
        </is>
      </c>
      <c r="F34" s="10" t="inlineStr">
        <is>
          <t>[...]</t>
        </is>
      </c>
      <c r="G34" s="10" t="inlineStr">
        <is>
          <t>없으면 빈 배열</t>
        </is>
      </c>
      <c r="H34" s="10" t="inlineStr">
        <is>
          <t>예외/누락 라인 목록</t>
        </is>
      </c>
    </row>
    <row r="35" ht="30" customHeight="1" s="42">
      <c r="A35" s="10" t="inlineStr">
        <is>
          <t>$.manual_review_items[].order_line_no</t>
        </is>
      </c>
      <c r="B35" s="10" t="inlineStr">
        <is>
          <t>주문행번호</t>
        </is>
      </c>
      <c r="C35" s="10" t="inlineStr">
        <is>
          <t>manual</t>
        </is>
      </c>
      <c r="D35" s="10" t="inlineStr">
        <is>
          <t>number</t>
        </is>
      </c>
      <c r="E35" s="10" t="inlineStr">
        <is>
          <t>Y</t>
        </is>
      </c>
      <c r="F35" s="10" t="inlineStr">
        <is>
          <t>2</t>
        </is>
      </c>
      <c r="G35" s="10" t="inlineStr">
        <is>
          <t>input echo</t>
        </is>
      </c>
      <c r="H35" s="10" t="inlineStr">
        <is>
          <t>검토 대상 라인</t>
        </is>
      </c>
    </row>
    <row r="36" ht="30" customHeight="1" s="42">
      <c r="A36" s="10" t="inlineStr">
        <is>
          <t>$.manual_review_items[].reason</t>
        </is>
      </c>
      <c r="B36" s="10" t="inlineStr">
        <is>
          <t>검토사유</t>
        </is>
      </c>
      <c r="C36" s="10" t="inlineStr">
        <is>
          <t>manual</t>
        </is>
      </c>
      <c r="D36" s="10" t="inlineStr">
        <is>
          <t>text</t>
        </is>
      </c>
      <c r="E36" s="10" t="inlineStr">
        <is>
          <t>Y</t>
        </is>
      </c>
      <c r="F36" s="10" t="inlineStr">
        <is>
          <t>규격 누락</t>
        </is>
      </c>
      <c r="G36" s="10" t="inlineStr">
        <is>
          <t>runtime</t>
        </is>
      </c>
      <c r="H36" s="10" t="inlineStr">
        <is>
          <t>수동 검토 사유</t>
        </is>
      </c>
    </row>
    <row r="37" ht="30" customHeight="1" s="42">
      <c r="A37" s="10" t="inlineStr">
        <is>
          <t>$.manual_review_items[].action</t>
        </is>
      </c>
      <c r="B37" s="10" t="inlineStr">
        <is>
          <t>권장조치</t>
        </is>
      </c>
      <c r="C37" s="10" t="inlineStr">
        <is>
          <t>manual</t>
        </is>
      </c>
      <c r="D37" s="10" t="inlineStr">
        <is>
          <t>text</t>
        </is>
      </c>
      <c r="E37" s="10" t="inlineStr">
        <is>
          <t>N</t>
        </is>
      </c>
      <c r="F37" s="10" t="inlineStr">
        <is>
          <t>마스터 보완</t>
        </is>
      </c>
      <c r="G37" s="10" t="inlineStr">
        <is>
          <t>runtime</t>
        </is>
      </c>
      <c r="H37" s="10" t="inlineStr">
        <is>
          <t>작업자 후속 조치</t>
        </is>
      </c>
    </row>
    <row r="38">
      <c r="A38" s="10" t="inlineStr">
        <is>
          <t>$.packing_notes</t>
        </is>
      </c>
      <c r="B38" s="10" t="inlineStr">
        <is>
          <t>패킹메모목록</t>
        </is>
      </c>
      <c r="C38" s="10" t="inlineStr">
        <is>
          <t>array</t>
        </is>
      </c>
      <c r="D38" s="10" t="inlineStr">
        <is>
          <t>array</t>
        </is>
      </c>
      <c r="E38" s="10" t="inlineStr">
        <is>
          <t>N</t>
        </is>
      </c>
      <c r="F38" s="10" t="inlineStr">
        <is>
          <t>[...]</t>
        </is>
      </c>
      <c r="G38" s="10" t="inlineStr">
        <is>
          <t>없으면 빈 배열</t>
        </is>
      </c>
      <c r="H38" s="10" t="inlineStr">
        <is>
          <t>사용자 안내 문구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5"/>
  <cols>
    <col width="24" customWidth="1" style="42" min="1" max="1"/>
    <col width="20" customWidth="1" style="42" min="2" max="4"/>
    <col width="24" customWidth="1" style="42" min="5" max="5"/>
    <col width="20" customWidth="1" style="42" min="6" max="8"/>
  </cols>
  <sheetData>
    <row r="1">
      <c r="A1" s="41" t="inlineStr">
        <is>
          <t>입력/출력 JSON 예시</t>
        </is>
      </c>
    </row>
    <row r="3">
      <c r="A3" s="43" t="inlineStr">
        <is>
          <t>request_example</t>
        </is>
      </c>
      <c r="B3" s="44" t="n"/>
      <c r="C3" s="44" t="n"/>
      <c r="D3" s="45" t="n"/>
      <c r="E3" s="43" t="inlineStr">
        <is>
          <t>response_example</t>
        </is>
      </c>
      <c r="F3" s="44" t="n"/>
      <c r="G3" s="44" t="n"/>
      <c r="H3" s="45" t="n"/>
    </row>
    <row r="4" ht="409.6" customHeight="1" s="42">
      <c r="A4" s="46" t="inlineStr">
        <is>
          <t>{
  "request_version": "v1",
  "job_id": "PK-20260310-0001",
  "packing_mode": "REPACK",
  "packing_list_required": false,
  "output_language": "ko",
  "order_lines": [
    {
      "order_line_no": 1,
      "product_name": "비에녹스 200u",
      "qty": 75
    },
    {
      "order_line_no": 2,
      "product_name": "리체스 딥 리도(c)",
      "qty": 225
    },
    {
      "order_line_no": 3,
      "product_name": "엘라스티 D 리도",
      "qty": 25
    }
  ],
  "options": {
    "allow_package_unseal": false,
    "allow_manual_review": true,
    "prefer_same_sku_carton": true,
    "max_box_weight_kg": 30,
    "output_detail_level": "FULL"
  }
}</t>
        </is>
      </c>
      <c r="B4" s="47" t="n"/>
      <c r="C4" s="47" t="n"/>
      <c r="D4" s="48" t="n"/>
      <c r="E4" s="46" t="inlineStr">
        <is>
          <t>{
  "response_version": "v1",
  "job_id": "PK-20260310-0001",
  "engine_version": "packing-engine-v1",
  "request_echo": {
    "packing_mode": "REPACK",
    "packing_list_required": false
  },
  "summary": {
    "total_input_lines": 3,
    "total_input_qty": 325,
    "total_cartons": 2,
    "manual_review_yn": "N"
  },
  "cartons": [
    {
      "carton_seq": 1,
      "carton_type": "STANDARD_BOX",
      "carton_code": "BX010",
      "carton_name": "72 x 48 x 40",
      "outer_length_cm": 72,
      "outer_width_cm": 48,
      "outer_height_cm": 40,
      "gross_weight_kg": 12.6,
      "empty_top_space_cm": 3.0,
      "trim_notice_yn": "Y",
      "trim_possible_height_cm": 37,
      "items": [
        {
          "order_line_no": 2,
          "normalized_product_code": "AUTO_MATCH",
          "product_name": "리체스 딥 리도(c)",
          "product_type": "SPECIAL_300",
          "packed_qty": 225,
          "fullbox_applied_yn": "N",
          "package_kept_yn": "N",
          "special_rule_applied_yn": "Y"
        },
        {
          "order_line_no": 3,
          "normalized_product_code": "AUTO_MATCH",
          "product_name": "엘라스티 D 리도",
          "product_type": "SPECIAL_300",
          "packed_qty": 25,
          "fullbox_applied_yn": "N",
          "package_kept_yn": "N",
          "special_rule_applied_yn": "Y"
        }
      ]
    },
    {
      "carton_seq": 2,
      "carton_type": "STANDARD_BOX",
      "carton_code": "BX005",
      "carton_name": "40 x 30 x 25",
      "outer_length_cm": 40,
      "outer_width_cm": 30,
      "outer_height_cm": 25,
      "gross_weight_kg": 3.2,
      "empty_top_space_cm": 1.0,
      "trim_notice_yn": "N",
      "trim_possible_height_cm": null,
      "items": [
        {
          "order_line_no": 1,
          "normalized_product_code": "AUTO_MATCH",
          "product_name": "비에녹스 200u",
          "product_type": "NORMAL",
          "packed_qty": 75,
          "fullbox_applied_yn": "N",
          "package_kept_yn": "N",
          "special_rule_applied_yn": "N"
        }
      ]
    }
  ],
  "manual_review_items": [],
  "packing_notes": [
    "상단 유효공간 2cm 이상인 카톤은 제단 안내를 표시한다."
  ]
}</t>
        </is>
      </c>
      <c r="F4" s="47" t="n"/>
      <c r="G4" s="47" t="n"/>
      <c r="H4" s="48" t="n"/>
    </row>
    <row r="5">
      <c r="A5" s="49" t="n"/>
      <c r="D5" s="50" t="n"/>
      <c r="E5" s="49" t="n"/>
      <c r="H5" s="50" t="n"/>
    </row>
    <row r="6">
      <c r="A6" s="49" t="n"/>
      <c r="D6" s="50" t="n"/>
      <c r="E6" s="49" t="n"/>
      <c r="H6" s="50" t="n"/>
    </row>
    <row r="7">
      <c r="A7" s="49" t="n"/>
      <c r="D7" s="50" t="n"/>
      <c r="E7" s="49" t="n"/>
      <c r="H7" s="50" t="n"/>
    </row>
    <row r="8">
      <c r="A8" s="49" t="n"/>
      <c r="D8" s="50" t="n"/>
      <c r="E8" s="49" t="n"/>
      <c r="H8" s="50" t="n"/>
    </row>
    <row r="9">
      <c r="A9" s="49" t="n"/>
      <c r="D9" s="50" t="n"/>
      <c r="E9" s="49" t="n"/>
      <c r="H9" s="50" t="n"/>
    </row>
    <row r="10">
      <c r="A10" s="49" t="n"/>
      <c r="D10" s="50" t="n"/>
      <c r="E10" s="49" t="n"/>
      <c r="H10" s="50" t="n"/>
    </row>
    <row r="11">
      <c r="A11" s="49" t="n"/>
      <c r="D11" s="50" t="n"/>
      <c r="E11" s="49" t="n"/>
      <c r="H11" s="50" t="n"/>
    </row>
    <row r="12">
      <c r="A12" s="49" t="n"/>
      <c r="D12" s="50" t="n"/>
      <c r="E12" s="49" t="n"/>
      <c r="H12" s="50" t="n"/>
    </row>
    <row r="13">
      <c r="A13" s="49" t="n"/>
      <c r="D13" s="50" t="n"/>
      <c r="E13" s="49" t="n"/>
      <c r="H13" s="50" t="n"/>
    </row>
    <row r="14">
      <c r="A14" s="49" t="n"/>
      <c r="D14" s="50" t="n"/>
      <c r="E14" s="49" t="n"/>
      <c r="H14" s="50" t="n"/>
    </row>
    <row r="15">
      <c r="A15" s="49" t="n"/>
      <c r="D15" s="50" t="n"/>
      <c r="E15" s="49" t="n"/>
      <c r="H15" s="50" t="n"/>
    </row>
    <row r="16">
      <c r="A16" s="49" t="n"/>
      <c r="D16" s="50" t="n"/>
      <c r="E16" s="49" t="n"/>
      <c r="H16" s="50" t="n"/>
    </row>
    <row r="17">
      <c r="A17" s="49" t="n"/>
      <c r="D17" s="50" t="n"/>
      <c r="E17" s="49" t="n"/>
      <c r="H17" s="50" t="n"/>
    </row>
    <row r="18">
      <c r="A18" s="49" t="n"/>
      <c r="D18" s="50" t="n"/>
      <c r="E18" s="49" t="n"/>
      <c r="H18" s="50" t="n"/>
    </row>
    <row r="19">
      <c r="A19" s="49" t="n"/>
      <c r="D19" s="50" t="n"/>
      <c r="E19" s="49" t="n"/>
      <c r="H19" s="50" t="n"/>
    </row>
    <row r="20">
      <c r="A20" s="49" t="n"/>
      <c r="D20" s="50" t="n"/>
      <c r="E20" s="49" t="n"/>
      <c r="H20" s="50" t="n"/>
    </row>
    <row r="21">
      <c r="A21" s="49" t="n"/>
      <c r="D21" s="50" t="n"/>
      <c r="E21" s="49" t="n"/>
      <c r="H21" s="50" t="n"/>
    </row>
    <row r="22">
      <c r="A22" s="49" t="n"/>
      <c r="D22" s="50" t="n"/>
      <c r="E22" s="49" t="n"/>
      <c r="H22" s="50" t="n"/>
    </row>
    <row r="23">
      <c r="A23" s="49" t="n"/>
      <c r="D23" s="50" t="n"/>
      <c r="E23" s="49" t="n"/>
      <c r="H23" s="50" t="n"/>
    </row>
    <row r="24">
      <c r="A24" s="49" t="n"/>
      <c r="D24" s="50" t="n"/>
      <c r="E24" s="49" t="n"/>
      <c r="H24" s="50" t="n"/>
    </row>
    <row r="25">
      <c r="A25" s="49" t="n"/>
      <c r="D25" s="50" t="n"/>
      <c r="E25" s="49" t="n"/>
      <c r="H25" s="50" t="n"/>
    </row>
    <row r="26">
      <c r="A26" s="49" t="n"/>
      <c r="D26" s="50" t="n"/>
      <c r="E26" s="49" t="n"/>
      <c r="H26" s="50" t="n"/>
    </row>
    <row r="27">
      <c r="A27" s="49" t="n"/>
      <c r="D27" s="50" t="n"/>
      <c r="E27" s="49" t="n"/>
      <c r="H27" s="50" t="n"/>
    </row>
    <row r="28">
      <c r="A28" s="49" t="n"/>
      <c r="D28" s="50" t="n"/>
      <c r="E28" s="49" t="n"/>
      <c r="H28" s="50" t="n"/>
    </row>
    <row r="29">
      <c r="A29" s="49" t="n"/>
      <c r="D29" s="50" t="n"/>
      <c r="E29" s="49" t="n"/>
      <c r="H29" s="50" t="n"/>
    </row>
    <row r="30">
      <c r="A30" s="49" t="n"/>
      <c r="D30" s="50" t="n"/>
      <c r="E30" s="49" t="n"/>
      <c r="H30" s="50" t="n"/>
    </row>
    <row r="31">
      <c r="A31" s="49" t="n"/>
      <c r="D31" s="50" t="n"/>
      <c r="E31" s="49" t="n"/>
      <c r="H31" s="50" t="n"/>
    </row>
    <row r="32">
      <c r="A32" s="49" t="n"/>
      <c r="D32" s="50" t="n"/>
      <c r="E32" s="49" t="n"/>
      <c r="H32" s="50" t="n"/>
    </row>
    <row r="33">
      <c r="A33" s="49" t="n"/>
      <c r="D33" s="50" t="n"/>
      <c r="E33" s="49" t="n"/>
      <c r="H33" s="50" t="n"/>
    </row>
    <row r="34">
      <c r="A34" s="49" t="n"/>
      <c r="D34" s="50" t="n"/>
      <c r="E34" s="49" t="n"/>
      <c r="H34" s="50" t="n"/>
    </row>
    <row r="35">
      <c r="A35" s="49" t="n"/>
      <c r="D35" s="50" t="n"/>
      <c r="E35" s="49" t="n"/>
      <c r="H35" s="50" t="n"/>
    </row>
    <row r="36">
      <c r="A36" s="49" t="n"/>
      <c r="D36" s="50" t="n"/>
      <c r="E36" s="49" t="n"/>
      <c r="H36" s="50" t="n"/>
    </row>
    <row r="37">
      <c r="A37" s="49" t="n"/>
      <c r="D37" s="50" t="n"/>
      <c r="E37" s="49" t="n"/>
      <c r="H37" s="50" t="n"/>
    </row>
    <row r="38">
      <c r="A38" s="49" t="n"/>
      <c r="D38" s="50" t="n"/>
      <c r="E38" s="49" t="n"/>
      <c r="H38" s="50" t="n"/>
    </row>
    <row r="39">
      <c r="A39" s="49" t="n"/>
      <c r="D39" s="50" t="n"/>
      <c r="E39" s="49" t="n"/>
      <c r="H39" s="50" t="n"/>
    </row>
    <row r="40">
      <c r="A40" s="49" t="n"/>
      <c r="D40" s="50" t="n"/>
      <c r="E40" s="49" t="n"/>
      <c r="H40" s="50" t="n"/>
    </row>
    <row r="41">
      <c r="A41" s="49" t="n"/>
      <c r="D41" s="50" t="n"/>
      <c r="E41" s="49" t="n"/>
      <c r="H41" s="50" t="n"/>
    </row>
    <row r="42">
      <c r="A42" s="49" t="n"/>
      <c r="D42" s="50" t="n"/>
      <c r="E42" s="49" t="n"/>
      <c r="H42" s="50" t="n"/>
    </row>
    <row r="43">
      <c r="A43" s="49" t="n"/>
      <c r="D43" s="50" t="n"/>
      <c r="E43" s="49" t="n"/>
      <c r="H43" s="50" t="n"/>
    </row>
    <row r="44">
      <c r="A44" s="49" t="n"/>
      <c r="D44" s="50" t="n"/>
      <c r="E44" s="49" t="n"/>
      <c r="H44" s="50" t="n"/>
    </row>
    <row r="45">
      <c r="A45" s="49" t="n"/>
      <c r="D45" s="50" t="n"/>
      <c r="E45" s="49" t="n"/>
      <c r="H45" s="50" t="n"/>
    </row>
    <row r="46">
      <c r="A46" s="49" t="n"/>
      <c r="D46" s="50" t="n"/>
      <c r="E46" s="49" t="n"/>
      <c r="H46" s="50" t="n"/>
    </row>
    <row r="47">
      <c r="A47" s="49" t="n"/>
      <c r="D47" s="50" t="n"/>
      <c r="E47" s="49" t="n"/>
      <c r="H47" s="50" t="n"/>
    </row>
    <row r="48">
      <c r="A48" s="49" t="n"/>
      <c r="D48" s="50" t="n"/>
      <c r="E48" s="49" t="n"/>
      <c r="H48" s="50" t="n"/>
    </row>
    <row r="49">
      <c r="A49" s="49" t="n"/>
      <c r="D49" s="50" t="n"/>
      <c r="E49" s="49" t="n"/>
      <c r="H49" s="50" t="n"/>
    </row>
    <row r="50">
      <c r="A50" s="51" t="n"/>
      <c r="B50" s="52" t="n"/>
      <c r="C50" s="52" t="n"/>
      <c r="D50" s="53" t="n"/>
      <c r="E50" s="51" t="n"/>
      <c r="F50" s="52" t="n"/>
      <c r="G50" s="52" t="n"/>
      <c r="H50" s="53" t="n"/>
    </row>
  </sheetData>
  <mergeCells count="5">
    <mergeCell ref="E3:H3"/>
    <mergeCell ref="A3:D3"/>
    <mergeCell ref="A4:D50"/>
    <mergeCell ref="E4:H50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selection activeCell="D28" sqref="D28"/>
    </sheetView>
  </sheetViews>
  <sheetFormatPr baseColWidth="8" defaultRowHeight="15"/>
  <cols>
    <col width="28" customWidth="1" style="42" min="1" max="1"/>
    <col width="26" customWidth="1" style="42" min="2" max="2"/>
    <col width="12" customWidth="1" style="42" min="3" max="3"/>
    <col width="44" customWidth="1" style="42" min="4" max="4"/>
    <col width="18" customWidth="1" style="42" min="5" max="5"/>
  </cols>
  <sheetData>
    <row r="1" ht="24" customHeight="1" s="42">
      <c r="A1" s="41" t="inlineStr">
        <is>
          <t>패킹 엔진 규칙 마스터</t>
        </is>
      </c>
    </row>
    <row r="3" ht="32.1" customHeight="1" s="42">
      <c r="A3" s="43" t="inlineStr">
        <is>
          <t>rule_key</t>
        </is>
      </c>
      <c r="B3" s="43" t="inlineStr">
        <is>
          <t>rule_value</t>
        </is>
      </c>
      <c r="C3" s="43" t="inlineStr">
        <is>
          <t>rule_type</t>
        </is>
      </c>
      <c r="D3" s="43" t="inlineStr">
        <is>
          <t>설명</t>
        </is>
      </c>
      <c r="E3" s="43" t="inlineStr">
        <is>
          <t>source</t>
        </is>
      </c>
    </row>
    <row r="4">
      <c r="A4" s="46" t="inlineStr">
        <is>
          <t>PACK_OBJECTIVE_PRIMARY</t>
        </is>
      </c>
      <c r="B4" s="46" t="inlineStr">
        <is>
          <t>MIN_BOX_COUNT</t>
        </is>
      </c>
      <c r="C4" s="46" t="inlineStr">
        <is>
          <t>enum</t>
        </is>
      </c>
      <c r="D4" s="46" t="inlineStr">
        <is>
          <t>박스 수량 최소화가 최우선</t>
        </is>
      </c>
      <c r="E4" s="46" t="inlineStr">
        <is>
          <t>사용자합의</t>
        </is>
      </c>
    </row>
    <row r="5">
      <c r="A5" s="46" t="inlineStr">
        <is>
          <t>PACK_SAME_PRODUCT_FIRST</t>
        </is>
      </c>
      <c r="B5" s="9" t="inlineStr">
        <is>
          <t>Y</t>
        </is>
      </c>
      <c r="C5" s="46" t="inlineStr">
        <is>
          <t>bool</t>
        </is>
      </c>
      <c r="D5" s="46" t="inlineStr">
        <is>
          <t>같은 상품 우선 패킹</t>
        </is>
      </c>
      <c r="E5" s="46" t="inlineStr">
        <is>
          <t>사용자합의</t>
        </is>
      </c>
    </row>
    <row r="6" ht="30" customHeight="1" s="42">
      <c r="A6" s="46" t="inlineStr">
        <is>
          <t>NORMAL_BOX_TIEBREAK</t>
        </is>
      </c>
      <c r="B6" s="46" t="inlineStr">
        <is>
          <t>LARGE_BOX_FIRST</t>
        </is>
      </c>
      <c r="C6" s="46" t="inlineStr">
        <is>
          <t>enum</t>
        </is>
      </c>
      <c r="D6" s="46" t="inlineStr">
        <is>
          <t>일반 상품은 동일 박스 수량이면 큰 박스를 먼저 사용</t>
        </is>
      </c>
      <c r="E6" s="46" t="inlineStr">
        <is>
          <t>사용자합의</t>
        </is>
      </c>
    </row>
    <row r="7" ht="30" customHeight="1" s="42">
      <c r="A7" s="46" t="inlineStr">
        <is>
          <t>SPECIAL_FAMILIES</t>
        </is>
      </c>
      <c r="B7" s="46" t="inlineStr">
        <is>
          <t>ELASTY|CELLOZOME|REPLENGEN|RICHESSE_C|DEMEI</t>
        </is>
      </c>
      <c r="C7" s="46" t="inlineStr">
        <is>
          <t>text</t>
        </is>
      </c>
      <c r="D7" s="46" t="inlineStr">
        <is>
          <t>특수 상품군 코드</t>
        </is>
      </c>
      <c r="E7" s="46" t="inlineStr">
        <is>
          <t>products_master.특수상품군</t>
        </is>
      </c>
    </row>
    <row r="8">
      <c r="A8" s="46" t="inlineStr">
        <is>
          <t>SPECIAL_PRIORITY_BOX_CODE</t>
        </is>
      </c>
      <c r="B8" s="46" t="inlineStr">
        <is>
          <t>BX010</t>
        </is>
      </c>
      <c r="C8" s="46" t="inlineStr">
        <is>
          <t>text</t>
        </is>
      </c>
      <c r="D8" s="46" t="inlineStr">
        <is>
          <t>특수 상품군 우선 박스코드(72x48x40)</t>
        </is>
      </c>
      <c r="E8" s="46" t="inlineStr">
        <is>
          <t>사용자합의</t>
        </is>
      </c>
    </row>
    <row r="9">
      <c r="A9" s="46" t="inlineStr">
        <is>
          <t>SPECIAL_PRIORITY_UNITS</t>
        </is>
      </c>
      <c r="B9" s="9" t="n">
        <v>300</v>
      </c>
      <c r="C9" s="46" t="inlineStr">
        <is>
          <t>number</t>
        </is>
      </c>
      <c r="D9" s="46" t="inlineStr">
        <is>
          <t>특수 상품군 우선 배정 수량</t>
        </is>
      </c>
      <c r="E9" s="46" t="inlineStr">
        <is>
          <t>사용자합의</t>
        </is>
      </c>
    </row>
    <row r="10">
      <c r="A10" s="46" t="inlineStr">
        <is>
          <t>BOX_INNER_MARGIN_CM</t>
        </is>
      </c>
      <c r="B10" s="9" t="n">
        <v>1</v>
      </c>
      <c r="C10" s="46" t="inlineStr">
        <is>
          <t>number</t>
        </is>
      </c>
      <c r="D10" s="46" t="inlineStr">
        <is>
          <t>계산용 내경 = 외경 - 1cm</t>
        </is>
      </c>
      <c r="E10" s="46" t="inlineStr">
        <is>
          <t>사용자합의</t>
        </is>
      </c>
    </row>
    <row r="11">
      <c r="A11" s="46" t="inlineStr">
        <is>
          <t>MAX_BOX_WEIGHT_KG</t>
        </is>
      </c>
      <c r="B11" s="9" t="n">
        <v>30</v>
      </c>
      <c r="C11" s="46" t="inlineStr">
        <is>
          <t>number</t>
        </is>
      </c>
      <c r="D11" s="46" t="inlineStr">
        <is>
          <t>30kg 초과 금지</t>
        </is>
      </c>
      <c r="E11" s="46" t="inlineStr">
        <is>
          <t>사용자합의</t>
        </is>
      </c>
    </row>
    <row r="12">
      <c r="A12" s="46" t="inlineStr">
        <is>
          <t>PACKAGE_AUTO_DETECT</t>
        </is>
      </c>
      <c r="B12" s="46" t="inlineStr">
        <is>
          <t>packages_master</t>
        </is>
      </c>
      <c r="C12" s="46" t="inlineStr">
        <is>
          <t>text</t>
        </is>
      </c>
      <c r="D12" s="46" t="inlineStr">
        <is>
          <t>패키지 상품 자동 판별 기준 시트</t>
        </is>
      </c>
      <c r="E12" s="46" t="inlineStr">
        <is>
          <t>사용자합의</t>
        </is>
      </c>
    </row>
    <row r="13" ht="30" customHeight="1" s="42">
      <c r="A13" s="46" t="inlineStr">
        <is>
          <t>TOP_EMPTY_SPACE_NOTICE_CM</t>
        </is>
      </c>
      <c r="B13" s="9" t="n">
        <v>2</v>
      </c>
      <c r="C13" s="46" t="inlineStr">
        <is>
          <t>number</t>
        </is>
      </c>
      <c r="D13" s="46" t="inlineStr">
        <is>
          <t>상단 유효공간 2cm 이상이면 안내</t>
        </is>
      </c>
      <c r="E13" s="46" t="inlineStr">
        <is>
          <t>사용자합의</t>
        </is>
      </c>
    </row>
    <row r="14">
      <c r="A14" s="46" t="inlineStr">
        <is>
          <t>OUTPUT_FORMAT</t>
        </is>
      </c>
      <c r="B14" s="46" t="inlineStr">
        <is>
          <t>PACKING_LIST_TEMPLATE</t>
        </is>
      </c>
      <c r="C14" s="46" t="inlineStr">
        <is>
          <t>text</t>
        </is>
      </c>
      <c r="D14" s="46" t="inlineStr">
        <is>
          <t>패킹리스트는 템플릿 형식 기준 출력</t>
        </is>
      </c>
      <c r="E14" s="46" t="inlineStr">
        <is>
          <t>사용자합의</t>
        </is>
      </c>
    </row>
    <row r="15" ht="30" customHeight="1" s="42">
      <c r="A15" s="46" t="inlineStr">
        <is>
          <t>FULLBOX_INTERPRETATION</t>
        </is>
      </c>
      <c r="B15" s="46" t="inlineStr">
        <is>
          <t>OWN_CARTON</t>
        </is>
      </c>
      <c r="C15" s="46" t="inlineStr">
        <is>
          <t>enum</t>
        </is>
      </c>
      <c r="D15" s="46" t="inlineStr">
        <is>
          <t>완박스는 표준 박스로 매핑하지 않고 자체 출고 카톤으로 인정</t>
        </is>
      </c>
      <c r="E15" s="46" t="inlineStr">
        <is>
          <t>이번확정</t>
        </is>
      </c>
    </row>
    <row r="16" ht="30" customHeight="1" s="42">
      <c r="A16" s="46" t="inlineStr">
        <is>
          <t>FULLBOX_STANDARD_BOX_MAPPING</t>
        </is>
      </c>
      <c r="B16" s="46" t="inlineStr">
        <is>
          <t>DISABLED</t>
        </is>
      </c>
      <c r="C16" s="46" t="inlineStr">
        <is>
          <t>enum</t>
        </is>
      </c>
      <c r="D16" s="46" t="inlineStr">
        <is>
          <t>완박스 -&gt; boxes_master 직접 매핑 비활성화</t>
        </is>
      </c>
      <c r="E16" s="46" t="inlineStr">
        <is>
          <t>이번확정</t>
        </is>
      </c>
    </row>
    <row r="17" ht="30" customHeight="1" s="42">
      <c r="A17" s="46" t="inlineStr">
        <is>
          <t>FULLBOX_SEQUENCE</t>
        </is>
      </c>
      <c r="B17" s="46" t="inlineStr">
        <is>
          <t>FULLBOX_FIRST_THEN_REPACK_REMAINDER</t>
        </is>
      </c>
      <c r="C17" s="46" t="inlineStr">
        <is>
          <t>enum</t>
        </is>
      </c>
      <c r="D17" s="46" t="inlineStr">
        <is>
          <t>완박스 출고를 먼저 배정하고 잔량만 재포장</t>
        </is>
      </c>
      <c r="E17" s="46" t="inlineStr">
        <is>
          <t>이번확정</t>
        </is>
      </c>
    </row>
    <row r="18">
      <c r="A18" s="46" t="inlineStr">
        <is>
          <t>FULLBOX_CARTON_SOURCE</t>
        </is>
      </c>
      <c r="B18" s="46" t="inlineStr">
        <is>
          <t>fullboxes_master</t>
        </is>
      </c>
      <c r="C18" s="46" t="inlineStr">
        <is>
          <t>text</t>
        </is>
      </c>
      <c r="D18" s="46" t="inlineStr">
        <is>
          <t>완박스 카톤 규격 원본 시트</t>
        </is>
      </c>
      <c r="E18" s="46" t="inlineStr">
        <is>
          <t>이번확정</t>
        </is>
      </c>
    </row>
    <row r="19" ht="30" customHeight="1" s="42">
      <c r="A19" s="46" t="inlineStr">
        <is>
          <t>FULLBOX_MISSING_DIM_ACTION</t>
        </is>
      </c>
      <c r="B19" s="46" t="inlineStr">
        <is>
          <t>MANUAL_REVIEW</t>
        </is>
      </c>
      <c r="C19" s="46" t="inlineStr">
        <is>
          <t>enum</t>
        </is>
      </c>
      <c r="D19" s="46" t="inlineStr">
        <is>
          <t>완박스 규격/중량 누락 행은 수동 검토 대상으로 분리</t>
        </is>
      </c>
      <c r="E19" s="46" t="inlineStr">
        <is>
          <t>이번확정</t>
        </is>
      </c>
    </row>
    <row r="20" ht="30" customHeight="1" s="42">
      <c r="A20" s="46" t="inlineStr">
        <is>
          <t>PACKAGE_INTERPRETATION</t>
        </is>
      </c>
      <c r="B20" s="46" t="inlineStr">
        <is>
          <t>PACKAGE_AS_IS_FIRST</t>
        </is>
      </c>
      <c r="C20" s="46" t="inlineStr">
        <is>
          <t>enum</t>
        </is>
      </c>
      <c r="D20" s="46" t="inlineStr">
        <is>
          <t>패키지 상품은 기본적으로 해체하지 않고 패키지 상태 그대로 계산</t>
        </is>
      </c>
      <c r="E20" s="46" t="inlineStr">
        <is>
          <t>이번확정</t>
        </is>
      </c>
    </row>
    <row r="21" ht="30" customHeight="1" s="42">
      <c r="A21" s="46" t="inlineStr">
        <is>
          <t>PACKAGE_REPACK_UNIT</t>
        </is>
      </c>
      <c r="B21" s="46" t="inlineStr">
        <is>
          <t>PACKAGE_UNIT</t>
        </is>
      </c>
      <c r="C21" s="46" t="inlineStr">
        <is>
          <t>enum</t>
        </is>
      </c>
      <c r="D21" s="46" t="inlineStr">
        <is>
          <t>패키지 재포장은 개별 구성품이 아니라 패키지 단위 기준으로 계산</t>
        </is>
      </c>
      <c r="E21" s="46" t="inlineStr">
        <is>
          <t>이번확정</t>
        </is>
      </c>
    </row>
    <row r="22">
      <c r="A22" s="46" t="inlineStr">
        <is>
          <t>PACKAGE_UNPACK_DEFAULT</t>
        </is>
      </c>
      <c r="B22" s="46" t="inlineStr">
        <is>
          <t>DISALLOW</t>
        </is>
      </c>
      <c r="C22" s="46" t="inlineStr">
        <is>
          <t>enum</t>
        </is>
      </c>
      <c r="D22" s="46" t="inlineStr">
        <is>
          <t>패키지 해체는 기본 비허용</t>
        </is>
      </c>
      <c r="E22" s="46" t="inlineStr">
        <is>
          <t>이번확정</t>
        </is>
      </c>
    </row>
    <row r="23" ht="30" customHeight="1" s="42">
      <c r="A23" s="46" t="inlineStr">
        <is>
          <t>PACKAGE_UNPACK_ALLOWED_WHEN</t>
        </is>
      </c>
      <c r="B23" s="46" t="inlineStr">
        <is>
          <t>NEED_AND_BOM_EXISTS_AND_POLICY_ALLOWS</t>
        </is>
      </c>
      <c r="C23" s="46" t="inlineStr">
        <is>
          <t>enum</t>
        </is>
      </c>
      <c r="D23" s="46" t="inlineStr">
        <is>
          <t>BOM 존재 + 패키지해체정책 허용 + 실제 필요 시에만 해체</t>
        </is>
      </c>
      <c r="E23" s="46" t="inlineStr">
        <is>
          <t>이번확정</t>
        </is>
      </c>
    </row>
    <row r="24" ht="30" customHeight="1" s="42">
      <c r="A24" s="46" t="inlineStr">
        <is>
          <t>PACKAGE_BOM_SOURCE</t>
        </is>
      </c>
      <c r="B24" s="46" t="inlineStr">
        <is>
          <t>package_bom_master</t>
        </is>
      </c>
      <c r="C24" s="46" t="inlineStr">
        <is>
          <t>text</t>
        </is>
      </c>
      <c r="D24" s="46" t="inlineStr">
        <is>
          <t>패키지 해체 계산에 필요한 구성품(BOM) 기준 시트</t>
        </is>
      </c>
      <c r="E24" s="46" t="inlineStr">
        <is>
          <t>이번확정</t>
        </is>
      </c>
    </row>
    <row r="25" ht="30" customHeight="1" s="42">
      <c r="A25" s="46" t="inlineStr">
        <is>
          <t>PACKAGE_NO_BOM_ACTION</t>
        </is>
      </c>
      <c r="B25" s="46" t="inlineStr">
        <is>
          <t>KEEP_SEALED_OR_MANUAL_REVIEW</t>
        </is>
      </c>
      <c r="C25" s="46" t="inlineStr">
        <is>
          <t>enum</t>
        </is>
      </c>
      <c r="D25" s="46" t="inlineStr">
        <is>
          <t>BOM이 없으면 패키지 상태 유지. 해체가 꼭 필요하면 수동 검토</t>
        </is>
      </c>
      <c r="E25" s="46" t="inlineStr">
        <is>
          <t>이번확정</t>
        </is>
      </c>
    </row>
    <row r="26">
      <c r="A26" s="46" t="inlineStr">
        <is>
          <t>ENGINE_SEQUENCE_VERSION</t>
        </is>
      </c>
      <c r="B26" s="46" t="inlineStr">
        <is>
          <t>v1</t>
        </is>
      </c>
      <c r="C26" s="46" t="inlineStr">
        <is>
          <t>text</t>
        </is>
      </c>
      <c r="D26" s="46" t="inlineStr">
        <is>
          <t>현재 확정된 엔진 처리 순서 버전</t>
        </is>
      </c>
      <c r="E26" s="46" t="inlineStr">
        <is>
          <t>이번확정</t>
        </is>
      </c>
    </row>
    <row r="27">
      <c r="A27" s="46" t="inlineStr">
        <is>
          <t>OUTPUT_SCHEMA_VERSION</t>
        </is>
      </c>
      <c r="B27" s="46" t="inlineStr">
        <is>
          <t>v1</t>
        </is>
      </c>
      <c r="C27" s="46" t="inlineStr">
        <is>
          <t>text</t>
        </is>
      </c>
      <c r="D27" s="46" t="inlineStr">
        <is>
          <t>현재 확정된 패킹리스트 출력 스키마 버전</t>
        </is>
      </c>
      <c r="E27" s="46" t="inlineStr">
        <is>
          <t>이번확정</t>
        </is>
      </c>
    </row>
    <row r="28">
      <c r="A28" s="46" t="inlineStr">
        <is>
          <t>PACKING_MODE_FULLBOX</t>
        </is>
      </c>
      <c r="B28" s="46" t="inlineStr">
        <is>
          <t>FULLBOX</t>
        </is>
      </c>
      <c r="C28" s="46" t="inlineStr">
        <is>
          <t>enum</t>
        </is>
      </c>
      <c r="D28" s="46" t="inlineStr">
        <is>
          <t>완박스 포장 코드</t>
        </is>
      </c>
      <c r="E28" s="46" t="inlineStr">
        <is>
          <t>이번확정</t>
        </is>
      </c>
    </row>
    <row r="29">
      <c r="A29" s="46" t="inlineStr">
        <is>
          <t>PACKING_MODE_REPACK</t>
        </is>
      </c>
      <c r="B29" s="46" t="inlineStr">
        <is>
          <t>REPACK</t>
        </is>
      </c>
      <c r="C29" s="46" t="inlineStr">
        <is>
          <t>enum</t>
        </is>
      </c>
      <c r="D29" s="46" t="inlineStr">
        <is>
          <t>재포장 코드</t>
        </is>
      </c>
      <c r="E29" s="46" t="inlineStr">
        <is>
          <t>이번확정</t>
        </is>
      </c>
    </row>
    <row r="30">
      <c r="A30" s="46" t="inlineStr">
        <is>
          <t>FULLBOX_MIX_ENABLE</t>
        </is>
      </c>
      <c r="B30" s="46" t="inlineStr">
        <is>
          <t>Y</t>
        </is>
      </c>
      <c r="C30" s="46" t="inlineStr">
        <is>
          <t>bool</t>
        </is>
      </c>
      <c r="D30" s="46" t="inlineStr">
        <is>
          <t>완박스 잔량 혼합 허용</t>
        </is>
      </c>
      <c r="E30" s="46" t="inlineStr">
        <is>
          <t>이번확정</t>
        </is>
      </c>
    </row>
    <row r="31">
      <c r="A31" s="46" t="inlineStr">
        <is>
          <t>FULLBOX_MIX_GROUP_FIRST</t>
        </is>
      </c>
      <c r="B31" s="46" t="inlineStr">
        <is>
          <t>Y</t>
        </is>
      </c>
      <c r="C31" s="46" t="inlineStr">
        <is>
          <t>bool</t>
        </is>
      </c>
      <c r="D31" s="46" t="inlineStr">
        <is>
          <t>동일 혼합그룹 잔량을 우선 합포</t>
        </is>
      </c>
      <c r="E31" s="46" t="inlineStr">
        <is>
          <t>이번확정</t>
        </is>
      </c>
    </row>
    <row r="32" ht="30" customHeight="1" s="42">
      <c r="A32" s="46" t="inlineStr">
        <is>
          <t>FULLBOX_MIX_TOL_LENGTH_CM</t>
        </is>
      </c>
      <c r="B32" s="46" t="n">
        <v>0.3</v>
      </c>
      <c r="C32" s="46" t="inlineStr">
        <is>
          <t>number</t>
        </is>
      </c>
      <c r="D32" s="46" t="inlineStr">
        <is>
          <t>완박스 혼합 허용 가로 오차(cm)</t>
        </is>
      </c>
      <c r="E32" s="46" t="inlineStr">
        <is>
          <t>이번확정</t>
        </is>
      </c>
    </row>
    <row r="33">
      <c r="A33" s="46" t="inlineStr">
        <is>
          <t>FULLBOX_MIX_TOL_WIDTH_CM</t>
        </is>
      </c>
      <c r="B33" s="46" t="n">
        <v>0.3</v>
      </c>
      <c r="C33" s="46" t="inlineStr">
        <is>
          <t>number</t>
        </is>
      </c>
      <c r="D33" s="46" t="inlineStr">
        <is>
          <t>완박스 혼합 허용 세로 오차(cm)</t>
        </is>
      </c>
      <c r="E33" s="46" t="inlineStr">
        <is>
          <t>이번확정</t>
        </is>
      </c>
    </row>
    <row r="34" ht="30" customHeight="1" s="42">
      <c r="A34" s="46" t="inlineStr">
        <is>
          <t>FULLBOX_MIX_TOL_HEIGHT_CM</t>
        </is>
      </c>
      <c r="B34" s="46" t="n">
        <v>0.3</v>
      </c>
      <c r="C34" s="46" t="inlineStr">
        <is>
          <t>number</t>
        </is>
      </c>
      <c r="D34" s="46" t="inlineStr">
        <is>
          <t>완박스 혼합 허용 높이 오차(cm)</t>
        </is>
      </c>
      <c r="E34" s="46" t="inlineStr">
        <is>
          <t>이번확정</t>
        </is>
      </c>
    </row>
    <row r="35" ht="30" customHeight="1" s="42">
      <c r="A35" s="46" t="inlineStr">
        <is>
          <t>FULLBOX_MIX_TOL_WEIGHT_KG</t>
        </is>
      </c>
      <c r="B35" s="46" t="n">
        <v>0.005</v>
      </c>
      <c r="C35" s="46" t="inlineStr">
        <is>
          <t>number</t>
        </is>
      </c>
      <c r="D35" s="46" t="inlineStr">
        <is>
          <t>완박스 혼합 허용 개당중량 오차(kg)</t>
        </is>
      </c>
      <c r="E35" s="46" t="inlineStr">
        <is>
          <t>이번확정</t>
        </is>
      </c>
    </row>
    <row r="36" ht="30" customHeight="1" s="42">
      <c r="A36" s="46" t="inlineStr">
        <is>
          <t>FULLBOX_REMAINDER_TO_REPACK</t>
        </is>
      </c>
      <c r="B36" s="46" t="inlineStr">
        <is>
          <t>Y</t>
        </is>
      </c>
      <c r="C36" s="46" t="inlineStr">
        <is>
          <t>bool</t>
        </is>
      </c>
      <c r="D36" s="46" t="inlineStr">
        <is>
          <t>혼합 후 남는 잔량은 재포장으로 처리</t>
        </is>
      </c>
      <c r="E36" s="46" t="inlineStr">
        <is>
          <t>이번확정</t>
        </is>
      </c>
    </row>
    <row r="37">
      <c r="A37" s="46" t="inlineStr">
        <is>
          <t>MATCH_FAIL_POLICY</t>
        </is>
      </c>
      <c r="B37" s="46" t="inlineStr">
        <is>
          <t>MATCH_FAILED</t>
        </is>
      </c>
      <c r="C37" s="46" t="inlineStr">
        <is>
          <t>enum</t>
        </is>
      </c>
      <c r="D37" s="46" t="inlineStr">
        <is>
          <t>매칭 실패 시 수동검토 없이 실패 처리</t>
        </is>
      </c>
      <c r="E37" s="46" t="inlineStr">
        <is>
          <t>이번확정</t>
        </is>
      </c>
    </row>
    <row r="38" ht="30" customHeight="1" s="42">
      <c r="A38" s="46" t="inlineStr">
        <is>
          <t>PRODUCT_NOT_FOUND_POLICY</t>
        </is>
      </c>
      <c r="B38" s="46" t="inlineStr">
        <is>
          <t>FAIL</t>
        </is>
      </c>
      <c r="C38" s="46" t="inlineStr">
        <is>
          <t>enum</t>
        </is>
      </c>
      <c r="D38" s="46" t="inlineStr">
        <is>
          <t>상품이 마스터에 없으면 FAIL 처리</t>
        </is>
      </c>
      <c r="E38" s="46" t="inlineStr">
        <is>
          <t>이번확정</t>
        </is>
      </c>
    </row>
    <row r="39">
      <c r="A39" s="46" t="inlineStr">
        <is>
          <t>BOX_MAX_WEIGHT_KG</t>
        </is>
      </c>
      <c r="B39" s="46" t="n">
        <v>30</v>
      </c>
      <c r="C39" s="46" t="inlineStr">
        <is>
          <t>number</t>
        </is>
      </c>
      <c r="D39" s="46" t="inlineStr">
        <is>
          <t>최대 박스 중량(kg)</t>
        </is>
      </c>
      <c r="E39" s="46" t="inlineStr">
        <is>
          <t>이번확정</t>
        </is>
      </c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:F1"/>
    </sheetView>
  </sheetViews>
  <sheetFormatPr baseColWidth="8" defaultRowHeight="15"/>
  <cols>
    <col width="12" customWidth="1" style="42" min="1" max="1"/>
    <col width="20" customWidth="1" style="42" min="2" max="2"/>
    <col width="16" customWidth="1" style="42" min="3" max="3"/>
    <col width="34" customWidth="1" style="42" min="4" max="5"/>
    <col width="16" customWidth="1" style="42" min="6" max="6"/>
  </cols>
  <sheetData>
    <row r="1" ht="24" customHeight="1" s="42">
      <c r="A1" s="41" t="inlineStr">
        <is>
          <t>계산 엔진 관점 점검 결과</t>
        </is>
      </c>
    </row>
    <row r="3" ht="32.1" customHeight="1" s="42">
      <c r="A3" s="43" t="inlineStr">
        <is>
          <t>우선순위</t>
        </is>
      </c>
      <c r="B3" s="43" t="inlineStr">
        <is>
          <t>시트명</t>
        </is>
      </c>
      <c r="C3" s="43" t="inlineStr">
        <is>
          <t>현재상태</t>
        </is>
      </c>
      <c r="D3" s="43" t="inlineStr">
        <is>
          <t>엔진 관점 갭</t>
        </is>
      </c>
      <c r="E3" s="43" t="inlineStr">
        <is>
          <t>권장 조치</t>
        </is>
      </c>
      <c r="F3" s="43" t="inlineStr">
        <is>
          <t>비고</t>
        </is>
      </c>
    </row>
    <row r="4" ht="45" customHeight="1" s="42">
      <c r="A4" s="9" t="inlineStr">
        <is>
          <t>HIGH</t>
        </is>
      </c>
      <c r="B4" s="46" t="inlineStr">
        <is>
          <t>products_master</t>
        </is>
      </c>
      <c r="C4" s="46" t="inlineStr">
        <is>
          <t>대체로 양호</t>
        </is>
      </c>
      <c r="D4" s="46" t="inlineStr">
        <is>
          <t>별칭/정규화명 없음. 그러나 패킹정책코드와 특수우선 컬럼은 이번 검토본에 추가함</t>
        </is>
      </c>
      <c r="E4" s="46" t="inlineStr">
        <is>
          <t>향후 alias_names / product_name_norm이 필요하면 별도 확장</t>
        </is>
      </c>
      <c r="F4" s="46" t="inlineStr">
        <is>
          <t>상품 462개</t>
        </is>
      </c>
    </row>
    <row r="5" ht="30" customHeight="1" s="42">
      <c r="A5" s="9" t="inlineStr">
        <is>
          <t>HIGH</t>
        </is>
      </c>
      <c r="B5" s="46" t="inlineStr">
        <is>
          <t>boxes_master</t>
        </is>
      </c>
      <c r="C5" s="46" t="inlineStr">
        <is>
          <t>양호</t>
        </is>
      </c>
      <c r="D5" s="46" t="inlineStr">
        <is>
          <t>엔진용 우선순위 컬럼이 없었음</t>
        </is>
      </c>
      <c r="E5" s="46" t="inlineStr">
        <is>
          <t>이번 검토본에 박스정렬우선순위 추가</t>
        </is>
      </c>
      <c r="F5" s="46" t="inlineStr">
        <is>
          <t>박스 10종</t>
        </is>
      </c>
    </row>
    <row r="6" ht="45" customHeight="1" s="42">
      <c r="A6" s="9" t="inlineStr">
        <is>
          <t>HIGH</t>
        </is>
      </c>
      <c r="B6" s="46" t="inlineStr">
        <is>
          <t>fullboxes_master</t>
        </is>
      </c>
      <c r="C6" s="46" t="inlineStr">
        <is>
          <t>부분적 준비</t>
        </is>
      </c>
      <c r="D6" s="46" t="inlineStr">
        <is>
          <t>표준 박스코드(box_id)가 없고, 현재 치수도 boxes_master와 직접 매핑되지 않음</t>
        </is>
      </c>
      <c r="E6" s="46" t="inlineStr">
        <is>
          <t>완박스 자체 규격인지 표준 박스 사용인지 정책 확정 필요</t>
        </is>
      </c>
      <c r="F6" s="46" t="inlineStr">
        <is>
          <t>완박스 178개</t>
        </is>
      </c>
    </row>
    <row r="7" ht="45" customHeight="1" s="42">
      <c r="A7" s="9" t="inlineStr">
        <is>
          <t>MEDIUM</t>
        </is>
      </c>
      <c r="B7" s="46" t="inlineStr">
        <is>
          <t>packages_master</t>
        </is>
      </c>
      <c r="C7" s="46" t="inlineStr">
        <is>
          <t>부분적 준비</t>
        </is>
      </c>
      <c r="D7" s="46" t="inlineStr">
        <is>
          <t>현재는 패키지 SKU 식별용으로 충분하나, 구성품 분해 계산이 필요하면 BOM 구조가 추가로 필요</t>
        </is>
      </c>
      <c r="E7" s="46" t="inlineStr">
        <is>
          <t>패키지를 원자 SKU로 볼지 구성품으로 풀지 정책 확정</t>
        </is>
      </c>
      <c r="F7" s="46" t="inlineStr">
        <is>
          <t>패키지 18개</t>
        </is>
      </c>
    </row>
    <row r="8" ht="30" customHeight="1" s="42">
      <c r="A8" s="9" t="inlineStr">
        <is>
          <t>MEDIUM</t>
        </is>
      </c>
      <c r="B8" s="46" t="inlineStr">
        <is>
          <t>README</t>
        </is>
      </c>
      <c r="C8" s="46" t="inlineStr">
        <is>
          <t>기본 안내 있음</t>
        </is>
      </c>
      <c r="D8" s="46" t="inlineStr">
        <is>
          <t>엔진 버전 이력과 스키마 정의가 없음</t>
        </is>
      </c>
      <c r="E8" s="46" t="inlineStr">
        <is>
          <t>rules_master / engine_gap_review를 기준 문서로 사용</t>
        </is>
      </c>
      <c r="F8" s="46" t="inlineStr">
        <is>
          <t>-</t>
        </is>
      </c>
    </row>
    <row r="9" ht="45" customHeight="1" s="42">
      <c r="A9" s="9" t="inlineStr">
        <is>
          <t>HIGH</t>
        </is>
      </c>
      <c r="B9" s="46" t="inlineStr">
        <is>
          <t>fullboxes_master</t>
        </is>
      </c>
      <c r="C9" s="46" t="inlineStr">
        <is>
          <t>정책 확정</t>
        </is>
      </c>
      <c r="D9" s="46" t="inlineStr">
        <is>
          <t>표준 박스와 직접 매핑 불가</t>
        </is>
      </c>
      <c r="E9" s="46" t="inlineStr">
        <is>
          <t>완박스를 OWN_CARTON으로 처리하고 잔량만 재포장</t>
        </is>
      </c>
      <c r="F9" s="46" t="inlineStr">
        <is>
          <t>고유 완박스카톤 92종 / 수동검토 1행</t>
        </is>
      </c>
    </row>
    <row r="10" ht="45" customHeight="1" s="42">
      <c r="A10" s="9" t="inlineStr">
        <is>
          <t>HIGH</t>
        </is>
      </c>
      <c r="B10" s="46" t="inlineStr">
        <is>
          <t>packages_master</t>
        </is>
      </c>
      <c r="C10" s="46" t="inlineStr">
        <is>
          <t>이번 확정으로 보완</t>
        </is>
      </c>
      <c r="D10" s="46" t="inlineStr">
        <is>
          <t>패키지 상태 우선/해체 조건/BOM 존재 여부가 명시되지 않았음</t>
        </is>
      </c>
      <c r="E10" s="46" t="inlineStr">
        <is>
          <t>이번 검토본에 엔진정책 컬럼 추가, 기본은 PACKAGE_AS_IS_FIRST로 고정</t>
        </is>
      </c>
      <c r="F10" s="46" t="inlineStr">
        <is>
          <t>패키지 18개</t>
        </is>
      </c>
    </row>
    <row r="11" ht="30" customHeight="1" s="42">
      <c r="A11" s="9" t="inlineStr">
        <is>
          <t>HIGH</t>
        </is>
      </c>
      <c r="B11" s="46" t="inlineStr">
        <is>
          <t>package_bom_master</t>
        </is>
      </c>
      <c r="C11" s="46" t="inlineStr">
        <is>
          <t>신규 템플릿</t>
        </is>
      </c>
      <c r="D11" s="46" t="inlineStr">
        <is>
          <t>현재 원본에는 패키지 구성품(BOM) 데이터가 없음</t>
        </is>
      </c>
      <c r="E11" s="46" t="inlineStr">
        <is>
          <t>해체 계산이 필요할 때만 이 시트에 패키지별 구성품 코드를 추가</t>
        </is>
      </c>
      <c r="F11" s="46" t="inlineStr">
        <is>
          <t>현재 데이터 0건</t>
        </is>
      </c>
    </row>
    <row r="12" ht="30" customHeight="1" s="42">
      <c r="A12" s="9" t="inlineStr">
        <is>
          <t>HIGH</t>
        </is>
      </c>
      <c r="B12" s="46" t="inlineStr">
        <is>
          <t>engine_flow/output_schema</t>
        </is>
      </c>
      <c r="C12" s="46" t="inlineStr">
        <is>
          <t>이번 확정으로 보완</t>
        </is>
      </c>
      <c r="D12" s="46" t="inlineStr">
        <is>
          <t>계산 순서와 출력 필드가 문서화되어 있지 않았음</t>
        </is>
      </c>
      <c r="E12" s="46" t="inlineStr">
        <is>
          <t>engine_flow, output_schema 시트 추가로 입력→계산→출력 구조 고정</t>
        </is>
      </c>
      <c r="F12" s="46" t="inlineStr">
        <is>
          <t>구현 기준 시트</t>
        </is>
      </c>
    </row>
    <row r="13" ht="45" customHeight="1" s="42">
      <c r="A13" s="10" t="inlineStr">
        <is>
          <t>HIGH</t>
        </is>
      </c>
      <c r="B13" s="10" t="inlineStr">
        <is>
          <t>input_json_schema/output_json_schema</t>
        </is>
      </c>
      <c r="C13" s="10" t="inlineStr">
        <is>
          <t>이번 확정으로 보완</t>
        </is>
      </c>
      <c r="D13" s="10" t="inlineStr">
        <is>
          <t>요청/응답 JSON 구조가 문서화되어 있지 않았음</t>
        </is>
      </c>
      <c r="E13" s="10" t="inlineStr">
        <is>
          <t>input_json_schema, output_json_schema, json_examples 시트 추가로 API 계약 고정</t>
        </is>
      </c>
      <c r="F13" s="10" t="inlineStr">
        <is>
          <t>구현/테스트 기준 시트</t>
        </is>
      </c>
    </row>
    <row r="14" ht="45" customHeight="1" s="42">
      <c r="A14" s="46" t="inlineStr">
        <is>
          <t>HIGH</t>
        </is>
      </c>
      <c r="B14" s="46" t="inlineStr">
        <is>
          <t>fullboxes_master/products_master/rules_master</t>
        </is>
      </c>
      <c r="C14" s="46" t="inlineStr">
        <is>
          <t>이번 확정으로 보완</t>
        </is>
      </c>
      <c r="D14" s="46" t="inlineStr">
        <is>
          <t>완박스 잔량 혼합 기준과 허용오차 정책이 문서/마스터에 반영되지 않았음</t>
        </is>
      </c>
      <c r="E14" s="46" t="inlineStr">
        <is>
          <t>혼합완박스허용여부, 완박스혼합그룹, 허용오차 규칙을 시트에 반영</t>
        </is>
      </c>
      <c r="F14" s="46" t="inlineStr">
        <is>
          <t>FULLBOX 혼합정책 반영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2026-03-10T11:04:18Z</dcterms:created>
  <dcterms:modified xsi:type="dcterms:W3CDTF">2026-04-06T08:05:48Z</dcterms:modified>
  <cp:lastModifiedBy>user</cp:lastModifiedBy>
</cp:coreProperties>
</file>